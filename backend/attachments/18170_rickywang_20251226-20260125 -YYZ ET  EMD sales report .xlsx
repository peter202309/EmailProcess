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440" tabRatio="633" activeTab="1"/>
  </bookViews>
  <sheets>
    <sheet name="国际作废票 -Eticket" sheetId="2" r:id="rId1"/>
    <sheet name="DT - (E-TICKET)" sheetId="1" r:id="rId2"/>
    <sheet name="EMDXX" sheetId="4" state="hidden" r:id="rId3"/>
    <sheet name="DT - ETERM REFUND" sheetId="8" r:id="rId4"/>
    <sheet name="DT - OFFLINE REFUND" sheetId="11" state="hidden" r:id="rId5"/>
    <sheet name="国际作废票 - EMD" sheetId="7" r:id="rId6"/>
    <sheet name="EMD_APR" sheetId="6" state="hidden" r:id="rId7"/>
    <sheet name="EMD" sheetId="9" r:id="rId8"/>
    <sheet name="EMD REFUND" sheetId="5" state="hidden" r:id="rId9"/>
    <sheet name="UTCSSA" sheetId="10" state="hidden" r:id="rId10"/>
  </sheets>
  <definedNames>
    <definedName name="_xlnm._FilterDatabase" localSheetId="1" hidden="1">'DT - (E-TICKET)'!$A$5:$AA$7</definedName>
    <definedName name="_xlnm._FilterDatabase" localSheetId="7" hidden="1">EMD!$A$5:$P$6</definedName>
    <definedName name="_xlnm._FilterDatabase" localSheetId="6" hidden="1">EMD_APR!$A$5:$P$6</definedName>
    <definedName name="_xlnm.Print_Area" localSheetId="3">'DT - ETERM REFUND'!$A$1:$S$25</definedName>
    <definedName name="_xlnm.Print_Area" localSheetId="4">'DT - OFFLINE REFUND'!$A$1:$S$27</definedName>
    <definedName name="_xlnm.Print_Area" localSheetId="7">EMD!$A$1:$H$6</definedName>
    <definedName name="_xlnm.Print_Area" localSheetId="2">EMDXX!$A$1:$F$89</definedName>
    <definedName name="_xlnm.Print_Area" localSheetId="5">'国际作废票 - EMD'!$A$1:$P$27</definedName>
    <definedName name="_xlnm.Print_Area" localSheetId="0">'国际作废票 -Eticket'!$A$1:$P$28</definedName>
    <definedName name="_xlnm.Print_Titles" localSheetId="7">EMD!$1:$6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<sst xmlns="http://schemas.openxmlformats.org/spreadsheetml/2006/main" count="1768" uniqueCount="339">
  <si>
    <t>中国东方航空股份有限公司</t>
  </si>
  <si>
    <r>
      <rPr>
        <b/>
        <sz val="12"/>
        <rFont val="宋体"/>
        <charset val="134"/>
      </rPr>
      <t xml:space="preserve">国际客运销售日报      （第四部分）               作废票 - </t>
    </r>
    <r>
      <rPr>
        <b/>
        <sz val="12"/>
        <color indexed="10"/>
        <rFont val="宋体"/>
        <charset val="134"/>
      </rPr>
      <t>Eticket</t>
    </r>
  </si>
  <si>
    <r>
      <rPr>
        <b/>
        <sz val="12"/>
        <rFont val="宋体"/>
        <charset val="134"/>
      </rPr>
      <t>代理人名称：</t>
    </r>
    <r>
      <rPr>
        <b/>
        <sz val="12"/>
        <color indexed="10"/>
        <rFont val="宋体"/>
        <charset val="134"/>
      </rPr>
      <t>YYZ</t>
    </r>
    <r>
      <rPr>
        <b/>
        <sz val="12"/>
        <rFont val="宋体"/>
        <charset val="134"/>
      </rPr>
      <t xml:space="preserve">
代理人编号：</t>
    </r>
    <r>
      <rPr>
        <b/>
        <sz val="12"/>
        <color indexed="10"/>
        <rFont val="宋体"/>
        <charset val="134"/>
      </rPr>
      <t>61554022</t>
    </r>
  </si>
  <si>
    <t>日报编号：</t>
  </si>
  <si>
    <t>销售日期:2025年12月26日至2026年01月25日</t>
  </si>
  <si>
    <t>col.50</t>
  </si>
  <si>
    <t>col.51</t>
  </si>
  <si>
    <t>票号</t>
  </si>
  <si>
    <t>张数</t>
  </si>
  <si>
    <t xml:space="preserve">备注 </t>
  </si>
  <si>
    <t>小计：</t>
  </si>
  <si>
    <t>总计：</t>
  </si>
  <si>
    <t>制表：_____________</t>
  </si>
  <si>
    <t>审核：_____________</t>
  </si>
  <si>
    <t>PASSENGERS (E-Ticket) MONTHLY  SALES  REPORT</t>
  </si>
  <si>
    <t>STATION:</t>
  </si>
  <si>
    <t>YYZ DOWNTOWN OFFICE</t>
  </si>
  <si>
    <t>MONTH:</t>
  </si>
  <si>
    <t>26DEC - 25JAN, 2026</t>
  </si>
  <si>
    <t>TICKET NO.</t>
  </si>
  <si>
    <t>ROUTING</t>
  </si>
  <si>
    <r>
      <rPr>
        <b/>
        <sz val="10"/>
        <rFont val="Arial"/>
        <charset val="134"/>
      </rPr>
      <t>NET
(</t>
    </r>
    <r>
      <rPr>
        <b/>
        <sz val="10"/>
        <rFont val="宋体"/>
        <charset val="134"/>
      </rPr>
      <t>实收价</t>
    </r>
    <r>
      <rPr>
        <b/>
        <sz val="10"/>
        <rFont val="Arial"/>
        <charset val="134"/>
      </rPr>
      <t>)</t>
    </r>
  </si>
  <si>
    <t>OB</t>
  </si>
  <si>
    <t>W1 (SQ+TAX)</t>
  </si>
  <si>
    <t>CA</t>
  </si>
  <si>
    <t>CN</t>
  </si>
  <si>
    <t>YQ</t>
  </si>
  <si>
    <t>RC</t>
  </si>
  <si>
    <t>XG</t>
  </si>
  <si>
    <t>XQ</t>
  </si>
  <si>
    <t>ALL
OTHER
TAXES</t>
  </si>
  <si>
    <t>TOTAL
 AMOUNT</t>
  </si>
  <si>
    <t>CONTRACT
CODE</t>
  </si>
  <si>
    <t>REMARK</t>
  </si>
  <si>
    <t>SPECIAL
NOTE</t>
  </si>
  <si>
    <t>FORM OF
PAYMENT</t>
  </si>
  <si>
    <t>AGENT</t>
  </si>
  <si>
    <t>PROCESS
DATE</t>
  </si>
  <si>
    <t>ACCOUNTING USED</t>
  </si>
  <si>
    <t>CHECKED
DATE</t>
  </si>
  <si>
    <t>RECEIVED
(MU ACCT)</t>
  </si>
  <si>
    <t>BATCH 
#</t>
  </si>
  <si>
    <t>DEPOSIT 
(TO BANK)</t>
  </si>
  <si>
    <t>NOTED</t>
  </si>
  <si>
    <t>781-2407410213</t>
  </si>
  <si>
    <t>YYZPVG</t>
  </si>
  <si>
    <r>
      <rPr>
        <sz val="10"/>
        <rFont val="宋体"/>
        <charset val="134"/>
      </rPr>
      <t>病退waiver：</t>
    </r>
    <r>
      <rPr>
        <sz val="10"/>
        <rFont val="Arial"/>
        <charset val="134"/>
      </rPr>
      <t>YYZ25021W</t>
    </r>
  </si>
  <si>
    <t>EXCH:7816024331784</t>
  </si>
  <si>
    <t>VISA</t>
  </si>
  <si>
    <t>Ricky</t>
  </si>
  <si>
    <t>781-2407410214</t>
  </si>
  <si>
    <t>EXCH:7816024331785</t>
  </si>
  <si>
    <t>Julie</t>
  </si>
  <si>
    <t>781-2407410215</t>
  </si>
  <si>
    <t>YYZ-PVG-YYZ</t>
  </si>
  <si>
    <t>UM</t>
  </si>
  <si>
    <t>Lili</t>
  </si>
  <si>
    <t>TOTAL</t>
  </si>
  <si>
    <t>PASSENGERS  MONTHLY  SALES  REPORT (EMD)</t>
  </si>
  <si>
    <t>YYZ AIRPORT OFFICE</t>
  </si>
  <si>
    <t xml:space="preserve"> </t>
  </si>
  <si>
    <t>AUG, 2015</t>
  </si>
  <si>
    <t>PAGE  NO. 1</t>
  </si>
  <si>
    <t>BAGGAGE RATE:</t>
  </si>
  <si>
    <t>EMD NO.</t>
  </si>
  <si>
    <t>EXCESS BAGGAGE</t>
  </si>
  <si>
    <t>RATE</t>
  </si>
  <si>
    <t>TOTAL
AMOUNT
PAID</t>
  </si>
  <si>
    <t>APPROVAL
CODE</t>
  </si>
  <si>
    <t>YYZ-PVG</t>
  </si>
  <si>
    <t>GIA</t>
  </si>
  <si>
    <t>009914</t>
  </si>
  <si>
    <t>059988</t>
  </si>
  <si>
    <t>CASH</t>
  </si>
  <si>
    <t>LINDA</t>
  </si>
  <si>
    <t>YYZ-PVG-MNL</t>
  </si>
  <si>
    <t>YYZ-PVG-FOC</t>
  </si>
  <si>
    <t>GRACE</t>
  </si>
  <si>
    <t>063896</t>
  </si>
  <si>
    <t>YYZ-PVG-CTU</t>
  </si>
  <si>
    <t>XXX</t>
  </si>
  <si>
    <t>YYZ-PVG-TAO</t>
  </si>
  <si>
    <t>MASTERCARD</t>
  </si>
  <si>
    <t>X06569</t>
  </si>
  <si>
    <t>YYZ-PVG-HRB</t>
  </si>
  <si>
    <t>YYZ-PVG-SIN</t>
  </si>
  <si>
    <t>043734</t>
  </si>
  <si>
    <t>YYZ-PVG-KHN</t>
  </si>
  <si>
    <t>POS</t>
  </si>
  <si>
    <t>739906</t>
  </si>
  <si>
    <r>
      <rPr>
        <sz val="10"/>
        <rFont val="Times New Roman"/>
        <charset val="134"/>
      </rPr>
      <t xml:space="preserve">208 </t>
    </r>
    <r>
      <rPr>
        <sz val="10"/>
        <rFont val="宋体"/>
        <charset val="134"/>
      </rPr>
      <t>优选座位</t>
    </r>
  </si>
  <si>
    <t>208 UPGRADE</t>
  </si>
  <si>
    <t>SUB-TOTAL</t>
  </si>
  <si>
    <t>PAGE  NO. 2</t>
  </si>
  <si>
    <t>PAGE  NO. 3</t>
  </si>
  <si>
    <t>MONTHLY TOTAL</t>
  </si>
  <si>
    <r>
      <rPr>
        <b/>
        <sz val="16"/>
        <rFont val="Arial"/>
        <charset val="134"/>
      </rPr>
      <t xml:space="preserve">PASSENGERS MONTHLY  SALES  REPORT </t>
    </r>
    <r>
      <rPr>
        <b/>
        <sz val="16"/>
        <color indexed="60"/>
        <rFont val="Arial"/>
        <charset val="134"/>
      </rPr>
      <t>(E-TICKET ETERM REFUND)</t>
    </r>
  </si>
  <si>
    <t>26DEC - 01JAN, 2026</t>
  </si>
  <si>
    <t>REFUND</t>
  </si>
  <si>
    <t>REFUND
SECTOR</t>
  </si>
  <si>
    <t>NET</t>
  </si>
  <si>
    <t>SQ</t>
  </si>
  <si>
    <t>AMOUNT
PAID</t>
  </si>
  <si>
    <t>SERVICE
CHARGE/
PENALTY</t>
  </si>
  <si>
    <t>REFUND FARE BEFORE TAXES</t>
  </si>
  <si>
    <t>REFUND TAXES</t>
  </si>
  <si>
    <t>REFUND
AMOUNT</t>
  </si>
  <si>
    <t>REMARK/
RFD NUMBER /退款单号</t>
  </si>
  <si>
    <t>SPECIAL NOTE</t>
  </si>
  <si>
    <t>REFUND
METHOD</t>
  </si>
  <si>
    <t>PROCESSED
DATE</t>
  </si>
  <si>
    <t>TOTAL:</t>
  </si>
  <si>
    <r>
      <rPr>
        <b/>
        <sz val="16"/>
        <rFont val="Arial"/>
        <charset val="134"/>
      </rPr>
      <t>PASSENGERS MONTHLY  SALES  REPORT (</t>
    </r>
    <r>
      <rPr>
        <b/>
        <sz val="16"/>
        <color indexed="60"/>
        <rFont val="Arial"/>
        <charset val="134"/>
      </rPr>
      <t>E-TICKET OFFINE REFUND</t>
    </r>
    <r>
      <rPr>
        <b/>
        <sz val="16"/>
        <rFont val="Arial"/>
        <charset val="134"/>
      </rPr>
      <t>)</t>
    </r>
  </si>
  <si>
    <t>26JAN - 25FEB, 2021</t>
  </si>
  <si>
    <t>781-9433658174</t>
  </si>
  <si>
    <t>TAO-PVG-YYZ</t>
  </si>
  <si>
    <t>ALL</t>
  </si>
  <si>
    <t>781-0147635</t>
  </si>
  <si>
    <t>旅客部分已使用客票，超过有效期的非自愿退票</t>
  </si>
  <si>
    <t>CC</t>
  </si>
  <si>
    <t>KATHERINE</t>
  </si>
  <si>
    <r>
      <rPr>
        <b/>
        <sz val="12"/>
        <rFont val="宋体"/>
        <charset val="134"/>
      </rPr>
      <t xml:space="preserve">国际客运销售日报      （第四部分）               作废票 / Missing - </t>
    </r>
    <r>
      <rPr>
        <b/>
        <sz val="10"/>
        <color indexed="10"/>
        <rFont val="宋体"/>
        <charset val="134"/>
      </rPr>
      <t>EMD</t>
    </r>
  </si>
  <si>
    <t>APR, 2016</t>
  </si>
  <si>
    <t>TYPE of SERVICE</t>
  </si>
  <si>
    <t>EB Piece/
 Ticket Person</t>
  </si>
  <si>
    <t xml:space="preserve">EB RATE/
Ticket Fare </t>
  </si>
  <si>
    <t>SEAT RESERVED SERVICE FEE</t>
  </si>
  <si>
    <t>61A</t>
  </si>
  <si>
    <t>REEANA</t>
  </si>
  <si>
    <t>61B</t>
  </si>
  <si>
    <t>61C</t>
  </si>
  <si>
    <t>1000CNY/ECAD203</t>
  </si>
  <si>
    <t>173</t>
  </si>
  <si>
    <t>060799</t>
  </si>
  <si>
    <t>UPGRADE</t>
  </si>
  <si>
    <t>T/C2796 FM R TO I 7814488807521</t>
  </si>
  <si>
    <t>176</t>
  </si>
  <si>
    <t>32K</t>
  </si>
  <si>
    <t>002308</t>
  </si>
  <si>
    <t>32L</t>
  </si>
  <si>
    <t>YYZ-PVG-NKG</t>
  </si>
  <si>
    <t>1000CNY/ECAD201</t>
  </si>
  <si>
    <t>YYZ-PVG-SHE</t>
  </si>
  <si>
    <t>SHILIAN</t>
  </si>
  <si>
    <t>YYZ-PVG-CAN</t>
  </si>
  <si>
    <t>003497</t>
  </si>
  <si>
    <t>034372</t>
  </si>
  <si>
    <t>X03014</t>
  </si>
  <si>
    <t>046164</t>
  </si>
  <si>
    <t>YYZ-PVG-SZX</t>
  </si>
  <si>
    <t>OVER PIECE &amp; OVER WEIGHT 2000CNY/ECAD402</t>
  </si>
  <si>
    <t>DEBIT</t>
  </si>
  <si>
    <t>167058</t>
  </si>
  <si>
    <t>31G</t>
  </si>
  <si>
    <t>1000CNY/ECAD202</t>
  </si>
  <si>
    <t>X01328</t>
  </si>
  <si>
    <t>YYZ-PVG-DLC</t>
  </si>
  <si>
    <t>T/C2796 FM R TO I 7814470759073</t>
  </si>
  <si>
    <t>068589</t>
  </si>
  <si>
    <t>1000CNY/CAD203</t>
  </si>
  <si>
    <t>180</t>
  </si>
  <si>
    <t>068236</t>
  </si>
  <si>
    <t>181</t>
  </si>
  <si>
    <t>082578</t>
  </si>
  <si>
    <t>034282</t>
  </si>
  <si>
    <t>182</t>
  </si>
  <si>
    <t>096077</t>
  </si>
  <si>
    <t>PAX VOL UPG FM K TO I T/C2796 7811790670631</t>
  </si>
  <si>
    <t>01673Z</t>
  </si>
  <si>
    <t>PAX VOL UPG FM S TO I T/C2796 7811790606946</t>
  </si>
  <si>
    <t>007389</t>
  </si>
  <si>
    <t>YYZ-PVG-WNZ</t>
  </si>
  <si>
    <t>T/C2796 FM S TO I 7811733069062</t>
  </si>
  <si>
    <t>183</t>
  </si>
  <si>
    <t>05731Z</t>
  </si>
  <si>
    <t>1000CNY/CAD201</t>
  </si>
  <si>
    <t>YYZ-PVG-CGO</t>
  </si>
  <si>
    <t>186</t>
  </si>
  <si>
    <t>YYZ-PVG-WUH</t>
  </si>
  <si>
    <t>1000CNY/ECAD199</t>
  </si>
  <si>
    <t>187</t>
  </si>
  <si>
    <t>014891</t>
  </si>
  <si>
    <t>07944B</t>
  </si>
  <si>
    <t>61L</t>
  </si>
  <si>
    <t>X04626</t>
  </si>
  <si>
    <t>YYZ-PVG-PEK</t>
  </si>
  <si>
    <t>067151</t>
  </si>
  <si>
    <t>YYZ-PVG-KMG</t>
  </si>
  <si>
    <t>1000CNY/ECAD198</t>
  </si>
  <si>
    <t>000433</t>
  </si>
  <si>
    <t>T/C2796 FM R TO I 7814470412524</t>
  </si>
  <si>
    <t>015241</t>
  </si>
  <si>
    <t>T/C2796 FM S TO I 7817728034237</t>
  </si>
  <si>
    <t>189</t>
  </si>
  <si>
    <t>076411</t>
  </si>
  <si>
    <t>T/C2796 FM S TO I 7817728034238</t>
  </si>
  <si>
    <t>X1072Z</t>
  </si>
  <si>
    <t>61F</t>
  </si>
  <si>
    <t>YYZ-PVG-DEL</t>
  </si>
  <si>
    <t>32J</t>
  </si>
  <si>
    <t>MIKE</t>
  </si>
  <si>
    <t>PAX VOL UPG FM S TO I T/C2796 7819797735507</t>
  </si>
  <si>
    <t>018005</t>
  </si>
  <si>
    <t>PAX VOL UPG FM R TO I T/C2796 7811731241493</t>
  </si>
  <si>
    <t>PAX VOL UPG FM S TO I T/C2796 7811729062009</t>
  </si>
  <si>
    <t>PAX VOL UPG FM S TO I T/C2796 7811729062008</t>
  </si>
  <si>
    <t>1000CNY/ECAD200</t>
  </si>
  <si>
    <t>004117</t>
  </si>
  <si>
    <t>T/C2796 FM S TO I 7819797735006</t>
  </si>
  <si>
    <t>005420</t>
  </si>
  <si>
    <t>YYZ-PVG-BKK</t>
  </si>
  <si>
    <t>VISA &amp; CASH</t>
  </si>
  <si>
    <t>VISA 50+ CASH 148</t>
  </si>
  <si>
    <t>052763</t>
  </si>
  <si>
    <t>T/C2796 FM S TO I 7811733117630</t>
  </si>
  <si>
    <t>052441</t>
  </si>
  <si>
    <t>07468S</t>
  </si>
  <si>
    <t>006016</t>
  </si>
  <si>
    <t>030649</t>
  </si>
  <si>
    <t>DEBIT &amp; CASH</t>
  </si>
  <si>
    <t>POS 58 &amp; Cash 140</t>
  </si>
  <si>
    <t>ok</t>
  </si>
  <si>
    <t>032621</t>
  </si>
  <si>
    <t>00370S</t>
  </si>
  <si>
    <t>09160Z</t>
  </si>
  <si>
    <t>YYZ-PVG-HKG</t>
  </si>
  <si>
    <t>1000CNY/ECAD197</t>
  </si>
  <si>
    <t>194</t>
  </si>
  <si>
    <t>02795Z</t>
  </si>
  <si>
    <t>YYZ-PVG-CSX</t>
  </si>
  <si>
    <t>05795Z</t>
  </si>
  <si>
    <t>1000CNY/ECAD196</t>
  </si>
  <si>
    <t>003496</t>
  </si>
  <si>
    <t>T/C2796 FM R TO I 7812241868962</t>
  </si>
  <si>
    <t>T/C2796 FM R TO I 7812241868953</t>
  </si>
  <si>
    <t>YYZ-PVG-XIY</t>
  </si>
  <si>
    <t>31F</t>
  </si>
  <si>
    <t>086560</t>
  </si>
  <si>
    <t>065663</t>
  </si>
  <si>
    <t>1000CNY/CAD196</t>
  </si>
  <si>
    <t>T/C2796 FM R TO I 7811612617948</t>
  </si>
  <si>
    <t>081261</t>
  </si>
  <si>
    <t>T/C2796 FM R TO I 7811612617947</t>
  </si>
  <si>
    <t>T/C2796 FM S TO I 7811613077728</t>
  </si>
  <si>
    <t>T/C2796 FM R TO I 7814488815474</t>
  </si>
  <si>
    <t>T/C2796 FM R TO I 7814470656907</t>
  </si>
  <si>
    <t>T/C2796 FM S TO I 7811732732048</t>
  </si>
  <si>
    <t>005307</t>
  </si>
  <si>
    <t>T/C2796 FM S TO I 7811706802161</t>
  </si>
  <si>
    <t>065761</t>
  </si>
  <si>
    <t>X96211</t>
  </si>
  <si>
    <t>T/C2796 FM R TO I 7814489674824</t>
  </si>
  <si>
    <t>MASTER &amp; CASH</t>
  </si>
  <si>
    <t>CC$400. CASH$400</t>
  </si>
  <si>
    <t>086050</t>
  </si>
  <si>
    <t>T/C2796 FM R TO I 7811651535870</t>
  </si>
  <si>
    <t>T/C2796 FM R TO I 7814470518424</t>
  </si>
  <si>
    <t>OK</t>
  </si>
  <si>
    <t>T/C2796 FM R TO I 7814470648527</t>
  </si>
  <si>
    <t>199</t>
  </si>
  <si>
    <t>T/C2796 FM R TO I 7812235020089</t>
  </si>
  <si>
    <t>X06173</t>
  </si>
  <si>
    <t>003426</t>
  </si>
  <si>
    <t>T/C2796 FM R TO I 7811732942251</t>
  </si>
  <si>
    <t>055693</t>
  </si>
  <si>
    <t>200</t>
  </si>
  <si>
    <t>036740</t>
  </si>
  <si>
    <t>PAX VOL UPG FM S TO I T/C 2796 7811656455930</t>
  </si>
  <si>
    <t>020146</t>
  </si>
  <si>
    <t>020860</t>
  </si>
  <si>
    <t>031850</t>
  </si>
  <si>
    <t>036891</t>
  </si>
  <si>
    <t>090636</t>
  </si>
  <si>
    <t>022064</t>
  </si>
  <si>
    <t>020500</t>
  </si>
  <si>
    <t>031335</t>
  </si>
  <si>
    <t>T/C2796 FM L TO I 7814488808395</t>
  </si>
  <si>
    <t>001093</t>
  </si>
  <si>
    <t>088732</t>
  </si>
  <si>
    <t>T/C2796 FM N TO I 7814489714375</t>
  </si>
  <si>
    <t>T/C2796 FM N TO I 7814489717044</t>
  </si>
  <si>
    <t>OLD EMD</t>
  </si>
  <si>
    <t xml:space="preserve"> 4563560384-0883</t>
  </si>
  <si>
    <t>NEW EMD</t>
  </si>
  <si>
    <t xml:space="preserve"> 4563924086-4585</t>
  </si>
  <si>
    <t>EB RATE/
Ticket Fare</t>
  </si>
  <si>
    <t>AIR MILEAGE
REDEEM</t>
  </si>
  <si>
    <t>L/O</t>
  </si>
  <si>
    <t>26-DEC</t>
  </si>
  <si>
    <t>1 EB (GUITAR)</t>
  </si>
  <si>
    <t>WECHAT</t>
  </si>
  <si>
    <t>1 OW (INF BAG)</t>
  </si>
  <si>
    <t>32A</t>
  </si>
  <si>
    <t>ALIPAY</t>
  </si>
  <si>
    <t>61K</t>
  </si>
  <si>
    <t>27-DEC</t>
  </si>
  <si>
    <t>AVIH</t>
  </si>
  <si>
    <t>29-DEC</t>
  </si>
  <si>
    <t>2ND EB</t>
  </si>
  <si>
    <t>3 EB 253+390*2</t>
  </si>
  <si>
    <t>2 OW</t>
  </si>
  <si>
    <t>61D</t>
  </si>
  <si>
    <t>31-DEC</t>
  </si>
  <si>
    <t>31D</t>
  </si>
  <si>
    <t>61H</t>
  </si>
  <si>
    <t>02-JAN</t>
  </si>
  <si>
    <t>N/O</t>
  </si>
  <si>
    <t>03-JAN</t>
  </si>
  <si>
    <t>05-JAN</t>
  </si>
  <si>
    <t>1EB+2OW</t>
  </si>
  <si>
    <t>OS</t>
  </si>
  <si>
    <t>07-JAN</t>
  </si>
  <si>
    <t>SNOWBOARD</t>
  </si>
  <si>
    <t>INF BAG 23KG</t>
  </si>
  <si>
    <t>61G</t>
  </si>
  <si>
    <t>3OW</t>
  </si>
  <si>
    <t>YYZ-PVG-CMB</t>
  </si>
  <si>
    <t>09-JAN</t>
  </si>
  <si>
    <t>EB</t>
  </si>
  <si>
    <t>SEAT</t>
  </si>
  <si>
    <t>SUBTOTAL</t>
  </si>
  <si>
    <t>PASSENGERS  MONTHLY  EMD SALES  REPORT (REFUND)</t>
  </si>
  <si>
    <t>26DEC,2019 - 25JAN, 2020</t>
  </si>
  <si>
    <t>PENALTY</t>
  </si>
  <si>
    <t>TOTAL REFUNDABLE AMOUNT</t>
  </si>
  <si>
    <t>REMARK
REFUND NUMBER</t>
  </si>
  <si>
    <t>FULLY REFUND,DUE DOUBLE PAY WZ EMD#4560939252</t>
  </si>
  <si>
    <t>NIL</t>
  </si>
  <si>
    <r>
      <rPr>
        <sz val="10"/>
        <rFont val="Arial"/>
        <charset val="134"/>
      </rPr>
      <t xml:space="preserve">Blackout Date </t>
    </r>
    <r>
      <rPr>
        <sz val="10"/>
        <rFont val="宋体"/>
        <charset val="134"/>
      </rPr>
      <t>加价</t>
    </r>
  </si>
  <si>
    <t>MU208</t>
  </si>
  <si>
    <r>
      <rPr>
        <sz val="10"/>
        <rFont val="宋体"/>
        <charset val="134"/>
      </rPr>
      <t>去程</t>
    </r>
  </si>
  <si>
    <r>
      <rPr>
        <sz val="10"/>
        <rFont val="宋体"/>
        <charset val="134"/>
      </rPr>
      <t>加价</t>
    </r>
  </si>
  <si>
    <r>
      <rPr>
        <sz val="10"/>
        <rFont val="宋体"/>
        <charset val="134"/>
      </rPr>
      <t>回程</t>
    </r>
  </si>
  <si>
    <t>合計</t>
  </si>
  <si>
    <t>差价</t>
  </si>
  <si>
    <t>MU207</t>
  </si>
  <si>
    <t>PVG-YYZ-PVG</t>
  </si>
  <si>
    <t>YYZ-PVG-SHE-PVG-YYZ</t>
  </si>
  <si>
    <t>YYZ-PVG-KMG-PVG-YYZ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</si>
</sst>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yyyy/m/d;@"/>
    <numFmt numFmtId="180" formatCode="[$-1009]d/mmm/yy;@"/>
    <numFmt numFmtId="181" formatCode="0.00_);[Red]\(0.00\)"/>
    <numFmt numFmtId="182" formatCode="&quot;¥&quot;#,##0"/>
    <numFmt numFmtId="183" formatCode="[$-409]d/mmm;@"/>
    <numFmt numFmtId="184" formatCode="[$-409]d\ mmm;@"/>
    <numFmt numFmtId="185" formatCode="&quot;$&quot;#,##0"/>
    <numFmt numFmtId="186" formatCode="&quot;$&quot;#,##0.00"/>
    <numFmt numFmtId="187" formatCode="[$-409]d/mmm/yy;@"/>
    <numFmt numFmtId="188" formatCode="#\ ?/?"/>
    <numFmt numFmtId="189" formatCode="0.00_);\(0.00\)"/>
    <numFmt numFmtId="190" formatCode="0_);[Red]\(0\)"/>
    <numFmt numFmtId="191" formatCode="000000"/>
  </numFmts>
  <fonts count="54">
    <font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16"/>
      <name val="Arial"/>
      <charset val="134"/>
    </font>
    <font>
      <b/>
      <sz val="10"/>
      <name val="Arial"/>
      <charset val="134"/>
    </font>
    <font>
      <sz val="8"/>
      <name val="宋体"/>
      <charset val="134"/>
    </font>
    <font>
      <sz val="12"/>
      <name val="Times New Roman"/>
      <charset val="134"/>
    </font>
    <font>
      <sz val="10"/>
      <color theme="9" tint="-0.499984740745262"/>
      <name val="Times New Roman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6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222222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9"/>
      <name val="宋体"/>
      <charset val="134"/>
    </font>
    <font>
      <sz val="10"/>
      <color rgb="FFFF0000"/>
      <name val="Times New Roman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name val="ＭＳ Ｐゴシック"/>
      <charset val="134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6"/>
      <color indexed="60"/>
      <name val="Arial"/>
      <charset val="134"/>
    </font>
    <font>
      <b/>
      <sz val="10"/>
      <color indexed="10"/>
      <name val="宋体"/>
      <charset val="134"/>
    </font>
    <font>
      <b/>
      <sz val="12"/>
      <color indexed="10"/>
      <name val="宋体"/>
      <charset val="134"/>
    </font>
    <font>
      <b/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7">
    <xf numFmtId="0" fontId="0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9" borderId="7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73" applyNumberFormat="0" applyFill="0" applyAlignment="0" applyProtection="0">
      <alignment vertical="center"/>
    </xf>
    <xf numFmtId="0" fontId="33" fillId="0" borderId="73" applyNumberFormat="0" applyFill="0" applyAlignment="0" applyProtection="0">
      <alignment vertical="center"/>
    </xf>
    <xf numFmtId="0" fontId="34" fillId="0" borderId="7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75" applyNumberFormat="0" applyAlignment="0" applyProtection="0">
      <alignment vertical="center"/>
    </xf>
    <xf numFmtId="0" fontId="36" fillId="11" borderId="76" applyNumberFormat="0" applyAlignment="0" applyProtection="0">
      <alignment vertical="center"/>
    </xf>
    <xf numFmtId="0" fontId="37" fillId="11" borderId="75" applyNumberFormat="0" applyAlignment="0" applyProtection="0">
      <alignment vertical="center"/>
    </xf>
    <xf numFmtId="0" fontId="38" fillId="12" borderId="77" applyNumberFormat="0" applyAlignment="0" applyProtection="0">
      <alignment vertical="center"/>
    </xf>
    <xf numFmtId="0" fontId="39" fillId="0" borderId="78" applyNumberFormat="0" applyFill="0" applyAlignment="0" applyProtection="0">
      <alignment vertical="center"/>
    </xf>
    <xf numFmtId="0" fontId="40" fillId="0" borderId="79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0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78" fontId="48" fillId="0" borderId="0" applyFont="0" applyFill="0" applyBorder="0" applyAlignment="0" applyProtection="0">
      <alignment vertical="center"/>
    </xf>
    <xf numFmtId="178" fontId="48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8" fontId="48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8" fontId="48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4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5" fillId="0" borderId="0">
      <alignment vertical="center"/>
    </xf>
    <xf numFmtId="0" fontId="25" fillId="0" borderId="0">
      <alignment vertical="center"/>
    </xf>
  </cellStyleXfs>
  <cellXfs count="537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43" fontId="1" fillId="0" borderId="1" xfId="85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5" fontId="1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84" applyFont="1"/>
    <xf numFmtId="0" fontId="3" fillId="0" borderId="0" xfId="84" applyFont="1" applyAlignment="1">
      <alignment horizontal="center" vertical="center"/>
    </xf>
    <xf numFmtId="0" fontId="3" fillId="0" borderId="0" xfId="84" applyFont="1" applyAlignment="1">
      <alignment vertical="center"/>
    </xf>
    <xf numFmtId="0" fontId="1" fillId="0" borderId="0" xfId="85"/>
    <xf numFmtId="180" fontId="1" fillId="0" borderId="0" xfId="85" applyNumberFormat="1"/>
    <xf numFmtId="0" fontId="4" fillId="0" borderId="0" xfId="84" applyFont="1" applyAlignment="1">
      <alignment horizontal="center" vertical="center"/>
    </xf>
    <xf numFmtId="0" fontId="5" fillId="0" borderId="0" xfId="84" applyFont="1" applyAlignment="1">
      <alignment horizontal="left"/>
    </xf>
    <xf numFmtId="0" fontId="5" fillId="0" borderId="0" xfId="84" applyFont="1"/>
    <xf numFmtId="0" fontId="6" fillId="0" borderId="0" xfId="84" applyFont="1"/>
    <xf numFmtId="0" fontId="6" fillId="0" borderId="0" xfId="84" applyFont="1" applyAlignment="1">
      <alignment horizontal="center"/>
    </xf>
    <xf numFmtId="0" fontId="5" fillId="0" borderId="0" xfId="85" applyFont="1"/>
    <xf numFmtId="0" fontId="6" fillId="0" borderId="0" xfId="84" applyFont="1" applyAlignment="1">
      <alignment horizontal="left"/>
    </xf>
    <xf numFmtId="0" fontId="3" fillId="0" borderId="0" xfId="84" applyFont="1" applyAlignment="1">
      <alignment horizontal="center"/>
    </xf>
    <xf numFmtId="0" fontId="7" fillId="0" borderId="2" xfId="84" applyFont="1" applyBorder="1" applyAlignment="1">
      <alignment horizontal="center" vertical="center"/>
    </xf>
    <xf numFmtId="0" fontId="7" fillId="0" borderId="3" xfId="84" applyFont="1" applyBorder="1" applyAlignment="1">
      <alignment horizontal="center" vertical="center"/>
    </xf>
    <xf numFmtId="0" fontId="5" fillId="2" borderId="4" xfId="84" applyFont="1" applyFill="1" applyBorder="1" applyAlignment="1">
      <alignment horizontal="center" vertical="center" wrapText="1"/>
    </xf>
    <xf numFmtId="0" fontId="5" fillId="2" borderId="5" xfId="84" applyFont="1" applyFill="1" applyBorder="1" applyAlignment="1">
      <alignment horizontal="center" vertical="center"/>
    </xf>
    <xf numFmtId="0" fontId="5" fillId="2" borderId="6" xfId="84" applyFont="1" applyFill="1" applyBorder="1" applyAlignment="1">
      <alignment horizontal="center" vertical="center"/>
    </xf>
    <xf numFmtId="0" fontId="5" fillId="2" borderId="6" xfId="84" applyFont="1" applyFill="1" applyBorder="1" applyAlignment="1">
      <alignment horizontal="center" vertical="center" wrapText="1"/>
    </xf>
    <xf numFmtId="0" fontId="5" fillId="2" borderId="7" xfId="84" applyFont="1" applyFill="1" applyBorder="1" applyAlignment="1">
      <alignment horizontal="center" vertical="center" wrapText="1"/>
    </xf>
    <xf numFmtId="0" fontId="5" fillId="2" borderId="8" xfId="84" applyFont="1" applyFill="1" applyBorder="1" applyAlignment="1">
      <alignment horizontal="center" vertical="center" wrapText="1"/>
    </xf>
    <xf numFmtId="0" fontId="5" fillId="2" borderId="9" xfId="84" applyFont="1" applyFill="1" applyBorder="1" applyAlignment="1">
      <alignment horizontal="center" vertical="center"/>
    </xf>
    <xf numFmtId="0" fontId="5" fillId="2" borderId="10" xfId="84" applyFont="1" applyFill="1" applyBorder="1" applyAlignment="1">
      <alignment horizontal="center" vertical="center"/>
    </xf>
    <xf numFmtId="0" fontId="5" fillId="2" borderId="10" xfId="84" applyFont="1" applyFill="1" applyBorder="1" applyAlignment="1">
      <alignment horizontal="center" vertical="center" wrapText="1"/>
    </xf>
    <xf numFmtId="0" fontId="5" fillId="2" borderId="11" xfId="84" applyFont="1" applyFill="1" applyBorder="1" applyAlignment="1">
      <alignment horizontal="center" vertical="center" wrapText="1"/>
    </xf>
    <xf numFmtId="0" fontId="8" fillId="0" borderId="12" xfId="84" applyFont="1" applyBorder="1" applyAlignment="1">
      <alignment horizontal="center" vertical="center"/>
    </xf>
    <xf numFmtId="0" fontId="3" fillId="0" borderId="13" xfId="84" applyFont="1" applyBorder="1" applyAlignment="1">
      <alignment vertical="center"/>
    </xf>
    <xf numFmtId="0" fontId="3" fillId="3" borderId="14" xfId="85" applyFont="1" applyFill="1" applyBorder="1" applyAlignment="1">
      <alignment vertical="center"/>
    </xf>
    <xf numFmtId="0" fontId="3" fillId="0" borderId="15" xfId="84" applyFont="1" applyBorder="1" applyAlignment="1">
      <alignment horizontal="center" vertical="center"/>
    </xf>
    <xf numFmtId="0" fontId="3" fillId="0" borderId="16" xfId="84" applyFont="1" applyBorder="1" applyAlignment="1">
      <alignment horizontal="center" vertical="center"/>
    </xf>
    <xf numFmtId="0" fontId="3" fillId="0" borderId="17" xfId="84" applyFont="1" applyBorder="1" applyAlignment="1">
      <alignment vertical="center"/>
    </xf>
    <xf numFmtId="0" fontId="3" fillId="0" borderId="18" xfId="84" applyFont="1" applyBorder="1" applyAlignment="1">
      <alignment horizontal="center" vertical="center"/>
    </xf>
    <xf numFmtId="181" fontId="1" fillId="0" borderId="18" xfId="85" applyNumberFormat="1" applyBorder="1" applyAlignment="1">
      <alignment horizontal="right" vertical="center"/>
    </xf>
    <xf numFmtId="0" fontId="3" fillId="0" borderId="12" xfId="84" applyFont="1" applyBorder="1" applyAlignment="1">
      <alignment horizontal="center"/>
    </xf>
    <xf numFmtId="0" fontId="3" fillId="0" borderId="13" xfId="84" applyFont="1" applyBorder="1"/>
    <xf numFmtId="0" fontId="3" fillId="3" borderId="17" xfId="85" applyFont="1" applyFill="1" applyBorder="1"/>
    <xf numFmtId="0" fontId="3" fillId="0" borderId="15" xfId="84" applyFont="1" applyBorder="1"/>
    <xf numFmtId="0" fontId="3" fillId="0" borderId="16" xfId="84" applyFont="1" applyBorder="1" applyAlignment="1">
      <alignment horizontal="center"/>
    </xf>
    <xf numFmtId="0" fontId="3" fillId="0" borderId="18" xfId="84" applyFont="1" applyBorder="1"/>
    <xf numFmtId="0" fontId="3" fillId="0" borderId="19" xfId="84" applyFont="1" applyBorder="1"/>
    <xf numFmtId="0" fontId="3" fillId="0" borderId="15" xfId="84" applyFont="1" applyBorder="1" applyAlignment="1">
      <alignment horizontal="right"/>
    </xf>
    <xf numFmtId="0" fontId="3" fillId="0" borderId="20" xfId="84" applyFont="1" applyBorder="1"/>
    <xf numFmtId="0" fontId="3" fillId="0" borderId="21" xfId="84" applyFont="1" applyBorder="1" applyAlignment="1">
      <alignment horizontal="center"/>
    </xf>
    <xf numFmtId="0" fontId="3" fillId="0" borderId="22" xfId="84" applyFont="1" applyBorder="1"/>
    <xf numFmtId="0" fontId="3" fillId="3" borderId="23" xfId="85" applyFont="1" applyFill="1" applyBorder="1"/>
    <xf numFmtId="0" fontId="3" fillId="0" borderId="24" xfId="84" applyFont="1" applyBorder="1"/>
    <xf numFmtId="0" fontId="3" fillId="0" borderId="25" xfId="84" applyFont="1" applyBorder="1" applyAlignment="1">
      <alignment horizontal="center"/>
    </xf>
    <xf numFmtId="0" fontId="3" fillId="0" borderId="23" xfId="84" applyFont="1" applyBorder="1"/>
    <xf numFmtId="0" fontId="3" fillId="0" borderId="26" xfId="84" applyFont="1" applyBorder="1"/>
    <xf numFmtId="0" fontId="6" fillId="0" borderId="27" xfId="83" applyFont="1" applyBorder="1" applyAlignment="1">
      <alignment horizontal="center"/>
    </xf>
    <xf numFmtId="0" fontId="5" fillId="0" borderId="28" xfId="84" applyFont="1" applyBorder="1" applyAlignment="1">
      <alignment vertical="center"/>
    </xf>
    <xf numFmtId="182" fontId="9" fillId="0" borderId="27" xfId="84" applyNumberFormat="1" applyFont="1" applyBorder="1" applyAlignment="1">
      <alignment vertical="center"/>
    </xf>
    <xf numFmtId="0" fontId="5" fillId="0" borderId="2" xfId="84" applyFont="1" applyBorder="1" applyAlignment="1">
      <alignment horizontal="center" vertical="center"/>
    </xf>
    <xf numFmtId="181" fontId="9" fillId="0" borderId="29" xfId="84" applyNumberFormat="1" applyFont="1" applyBorder="1" applyAlignment="1">
      <alignment vertical="center"/>
    </xf>
    <xf numFmtId="0" fontId="10" fillId="0" borderId="0" xfId="85" applyFont="1" applyAlignment="1">
      <alignment vertical="center"/>
    </xf>
    <xf numFmtId="180" fontId="10" fillId="0" borderId="0" xfId="85" applyNumberFormat="1" applyFont="1" applyAlignment="1">
      <alignment vertical="center"/>
    </xf>
    <xf numFmtId="0" fontId="5" fillId="2" borderId="30" xfId="84" applyFont="1" applyFill="1" applyBorder="1" applyAlignment="1">
      <alignment horizontal="center" vertical="center" wrapText="1"/>
    </xf>
    <xf numFmtId="0" fontId="11" fillId="2" borderId="6" xfId="85" applyFont="1" applyFill="1" applyBorder="1" applyAlignment="1">
      <alignment horizontal="center" vertical="center" shrinkToFit="1"/>
    </xf>
    <xf numFmtId="0" fontId="5" fillId="2" borderId="4" xfId="85" applyFont="1" applyFill="1" applyBorder="1" applyAlignment="1">
      <alignment horizontal="center" vertical="center" wrapText="1"/>
    </xf>
    <xf numFmtId="0" fontId="5" fillId="2" borderId="31" xfId="85" applyFont="1" applyFill="1" applyBorder="1" applyAlignment="1">
      <alignment horizontal="center" vertical="center" wrapText="1"/>
    </xf>
    <xf numFmtId="0" fontId="5" fillId="2" borderId="5" xfId="85" applyFont="1" applyFill="1" applyBorder="1" applyAlignment="1">
      <alignment horizontal="center" vertical="center" wrapText="1"/>
    </xf>
    <xf numFmtId="0" fontId="5" fillId="2" borderId="32" xfId="84" applyFont="1" applyFill="1" applyBorder="1" applyAlignment="1">
      <alignment horizontal="center" vertical="center" wrapText="1"/>
    </xf>
    <xf numFmtId="0" fontId="11" fillId="2" borderId="10" xfId="85" applyFont="1" applyFill="1" applyBorder="1" applyAlignment="1">
      <alignment horizontal="center" vertical="center" shrinkToFit="1"/>
    </xf>
    <xf numFmtId="0" fontId="5" fillId="2" borderId="8" xfId="85" applyFont="1" applyFill="1" applyBorder="1" applyAlignment="1">
      <alignment horizontal="center" vertical="center" wrapText="1"/>
    </xf>
    <xf numFmtId="0" fontId="5" fillId="2" borderId="33" xfId="85" applyFont="1" applyFill="1" applyBorder="1" applyAlignment="1">
      <alignment horizontal="center" vertical="center" wrapText="1"/>
    </xf>
    <xf numFmtId="0" fontId="5" fillId="2" borderId="9" xfId="85" applyFont="1" applyFill="1" applyBorder="1" applyAlignment="1">
      <alignment horizontal="center" vertical="center" wrapText="1"/>
    </xf>
    <xf numFmtId="0" fontId="3" fillId="0" borderId="20" xfId="84" applyFont="1" applyBorder="1" applyAlignment="1">
      <alignment horizontal="center" vertical="center"/>
    </xf>
    <xf numFmtId="0" fontId="1" fillId="0" borderId="20" xfId="85" applyBorder="1" applyAlignment="1">
      <alignment horizontal="left" vertical="center" wrapText="1" shrinkToFit="1"/>
    </xf>
    <xf numFmtId="180" fontId="1" fillId="0" borderId="19" xfId="85" applyNumberFormat="1" applyBorder="1" applyAlignment="1">
      <alignment horizontal="center" vertical="center" wrapText="1"/>
    </xf>
    <xf numFmtId="180" fontId="1" fillId="0" borderId="34" xfId="85" applyNumberFormat="1" applyBorder="1" applyAlignment="1">
      <alignment vertical="center"/>
    </xf>
    <xf numFmtId="0" fontId="1" fillId="0" borderId="35" xfId="85" applyBorder="1" applyAlignment="1">
      <alignment horizontal="center" vertical="center"/>
    </xf>
    <xf numFmtId="0" fontId="2" fillId="0" borderId="20" xfId="85" applyFont="1" applyBorder="1" applyAlignment="1">
      <alignment horizontal="left" vertical="center" wrapText="1" shrinkToFit="1"/>
    </xf>
    <xf numFmtId="180" fontId="1" fillId="0" borderId="15" xfId="85" applyNumberFormat="1" applyBorder="1" applyAlignment="1">
      <alignment horizontal="center" vertical="center" wrapText="1"/>
    </xf>
    <xf numFmtId="0" fontId="1" fillId="0" borderId="35" xfId="85" applyBorder="1" applyAlignment="1">
      <alignment vertical="center"/>
    </xf>
    <xf numFmtId="180" fontId="1" fillId="0" borderId="1" xfId="85" applyNumberFormat="1" applyBorder="1" applyAlignment="1">
      <alignment vertical="center"/>
    </xf>
    <xf numFmtId="0" fontId="1" fillId="0" borderId="13" xfId="85" applyBorder="1" applyAlignment="1">
      <alignment vertical="center"/>
    </xf>
    <xf numFmtId="0" fontId="12" fillId="0" borderId="20" xfId="85" applyFont="1" applyBorder="1" applyAlignment="1">
      <alignment horizontal="left" vertical="center" wrapText="1" shrinkToFit="1"/>
    </xf>
    <xf numFmtId="2" fontId="2" fillId="0" borderId="36" xfId="85" applyNumberFormat="1" applyFont="1" applyBorder="1" applyAlignment="1">
      <alignment vertical="center" wrapText="1"/>
    </xf>
    <xf numFmtId="180" fontId="1" fillId="0" borderId="1" xfId="85" applyNumberFormat="1" applyBorder="1" applyAlignment="1">
      <alignment horizontal="right" vertical="center"/>
    </xf>
    <xf numFmtId="2" fontId="1" fillId="0" borderId="36" xfId="85" applyNumberFormat="1" applyBorder="1"/>
    <xf numFmtId="180" fontId="1" fillId="0" borderId="15" xfId="85" applyNumberFormat="1" applyBorder="1" applyAlignment="1">
      <alignment horizontal="center"/>
    </xf>
    <xf numFmtId="180" fontId="1" fillId="0" borderId="1" xfId="85" applyNumberFormat="1" applyBorder="1"/>
    <xf numFmtId="180" fontId="1" fillId="0" borderId="13" xfId="85" applyNumberFormat="1" applyBorder="1"/>
    <xf numFmtId="180" fontId="1" fillId="0" borderId="15" xfId="85" applyNumberFormat="1" applyBorder="1"/>
    <xf numFmtId="0" fontId="1" fillId="0" borderId="13" xfId="85" applyBorder="1"/>
    <xf numFmtId="181" fontId="9" fillId="0" borderId="0" xfId="84" applyNumberFormat="1" applyFont="1" applyAlignment="1">
      <alignment vertical="center"/>
    </xf>
    <xf numFmtId="0" fontId="3" fillId="0" borderId="0" xfId="84" applyFont="1" applyAlignment="1">
      <alignment horizontal="center" shrinkToFit="1"/>
    </xf>
    <xf numFmtId="183" fontId="3" fillId="0" borderId="0" xfId="84" applyNumberFormat="1" applyFont="1" applyAlignment="1">
      <alignment horizontal="center" vertical="center"/>
    </xf>
    <xf numFmtId="0" fontId="3" fillId="0" borderId="0" xfId="84" applyFont="1" applyAlignment="1">
      <alignment horizontal="right"/>
    </xf>
    <xf numFmtId="0" fontId="6" fillId="0" borderId="0" xfId="84" applyFont="1" applyAlignment="1">
      <alignment horizontal="center" shrinkToFit="1"/>
    </xf>
    <xf numFmtId="17" fontId="5" fillId="0" borderId="0" xfId="85" applyNumberFormat="1" applyFont="1"/>
    <xf numFmtId="0" fontId="5" fillId="0" borderId="0" xfId="85" applyFont="1" applyAlignment="1">
      <alignment horizontal="center" shrinkToFit="1"/>
    </xf>
    <xf numFmtId="0" fontId="5" fillId="2" borderId="6" xfId="84" applyFont="1" applyFill="1" applyBorder="1" applyAlignment="1">
      <alignment horizontal="center" vertical="center" shrinkToFit="1"/>
    </xf>
    <xf numFmtId="0" fontId="5" fillId="2" borderId="10" xfId="84" applyFont="1" applyFill="1" applyBorder="1" applyAlignment="1">
      <alignment horizontal="center" vertical="center" shrinkToFit="1"/>
    </xf>
    <xf numFmtId="0" fontId="13" fillId="0" borderId="36" xfId="84" applyFont="1" applyBorder="1" applyAlignment="1">
      <alignment horizontal="center" vertical="center"/>
    </xf>
    <xf numFmtId="0" fontId="3" fillId="3" borderId="17" xfId="85" applyFont="1" applyFill="1" applyBorder="1" applyAlignment="1">
      <alignment vertical="center"/>
    </xf>
    <xf numFmtId="0" fontId="3" fillId="0" borderId="17" xfId="84" applyFont="1" applyBorder="1" applyAlignment="1">
      <alignment horizontal="center" vertical="center"/>
    </xf>
    <xf numFmtId="0" fontId="3" fillId="0" borderId="17" xfId="84" applyFont="1" applyBorder="1" applyAlignment="1">
      <alignment horizontal="center"/>
    </xf>
    <xf numFmtId="0" fontId="3" fillId="0" borderId="17" xfId="84" applyFont="1" applyBorder="1" applyAlignment="1">
      <alignment horizontal="center" vertical="center" shrinkToFit="1"/>
    </xf>
    <xf numFmtId="0" fontId="4" fillId="0" borderId="0" xfId="84" applyFont="1" applyAlignment="1">
      <alignment vertical="center"/>
    </xf>
    <xf numFmtId="0" fontId="4" fillId="0" borderId="0" xfId="84" applyFont="1" applyAlignment="1">
      <alignment horizontal="right"/>
    </xf>
    <xf numFmtId="0" fontId="4" fillId="0" borderId="0" xfId="84" applyFont="1"/>
    <xf numFmtId="0" fontId="13" fillId="4" borderId="1" xfId="84" applyFont="1" applyFill="1" applyBorder="1" applyAlignment="1">
      <alignment wrapText="1"/>
    </xf>
    <xf numFmtId="0" fontId="3" fillId="4" borderId="1" xfId="84" applyFont="1" applyFill="1" applyBorder="1" applyAlignment="1">
      <alignment horizontal="center" wrapText="1"/>
    </xf>
    <xf numFmtId="0" fontId="5" fillId="2" borderId="6" xfId="84" applyFont="1" applyFill="1" applyBorder="1" applyAlignment="1">
      <alignment horizontal="right" vertical="center" wrapText="1"/>
    </xf>
    <xf numFmtId="0" fontId="5" fillId="5" borderId="2" xfId="87" applyFont="1" applyFill="1" applyBorder="1" applyAlignment="1">
      <alignment horizontal="center" vertical="center" wrapText="1"/>
    </xf>
    <xf numFmtId="0" fontId="5" fillId="5" borderId="37" xfId="87" applyFont="1" applyFill="1" applyBorder="1" applyAlignment="1">
      <alignment horizontal="center" vertical="center" wrapText="1"/>
    </xf>
    <xf numFmtId="0" fontId="5" fillId="5" borderId="32" xfId="87" applyFont="1" applyFill="1" applyBorder="1" applyAlignment="1">
      <alignment horizontal="center" vertical="center" wrapText="1"/>
    </xf>
    <xf numFmtId="0" fontId="5" fillId="2" borderId="10" xfId="84" applyFont="1" applyFill="1" applyBorder="1" applyAlignment="1">
      <alignment horizontal="right" vertical="center" wrapText="1"/>
    </xf>
    <xf numFmtId="183" fontId="5" fillId="5" borderId="27" xfId="141" applyNumberFormat="1" applyFont="1" applyFill="1" applyBorder="1" applyAlignment="1">
      <alignment horizontal="center" vertical="center" wrapText="1"/>
    </xf>
    <xf numFmtId="0" fontId="5" fillId="5" borderId="38" xfId="87" applyFont="1" applyFill="1" applyBorder="1" applyAlignment="1">
      <alignment horizontal="center" vertical="center" wrapText="1"/>
    </xf>
    <xf numFmtId="0" fontId="5" fillId="5" borderId="39" xfId="87" applyFont="1" applyFill="1" applyBorder="1" applyAlignment="1">
      <alignment horizontal="center" vertical="center" wrapText="1"/>
    </xf>
    <xf numFmtId="0" fontId="3" fillId="6" borderId="17" xfId="85" applyFont="1" applyFill="1" applyBorder="1" applyAlignment="1">
      <alignment horizontal="center" vertical="center"/>
    </xf>
    <xf numFmtId="183" fontId="3" fillId="0" borderId="40" xfId="84" applyNumberFormat="1" applyFont="1" applyBorder="1" applyAlignment="1">
      <alignment horizontal="center" vertical="center"/>
    </xf>
    <xf numFmtId="49" fontId="3" fillId="0" borderId="1" xfId="84" applyNumberFormat="1" applyFont="1" applyBorder="1" applyAlignment="1">
      <alignment horizontal="right" vertical="center"/>
    </xf>
    <xf numFmtId="16" fontId="3" fillId="0" borderId="13" xfId="84" applyNumberFormat="1" applyFont="1" applyBorder="1" applyAlignment="1">
      <alignment vertical="center"/>
    </xf>
    <xf numFmtId="183" fontId="3" fillId="5" borderId="15" xfId="85" applyNumberFormat="1" applyFont="1" applyFill="1" applyBorder="1"/>
    <xf numFmtId="0" fontId="3" fillId="5" borderId="1" xfId="143" applyFont="1" applyFill="1" applyBorder="1" applyAlignment="1">
      <alignment horizontal="center" vertical="center"/>
    </xf>
    <xf numFmtId="16" fontId="3" fillId="5" borderId="13" xfId="143" applyNumberFormat="1" applyFont="1" applyFill="1" applyBorder="1" applyAlignment="1">
      <alignment horizontal="right" vertical="center"/>
    </xf>
    <xf numFmtId="184" fontId="3" fillId="5" borderId="15" xfId="85" applyNumberFormat="1" applyFont="1" applyFill="1" applyBorder="1" applyAlignment="1">
      <alignment horizontal="center"/>
    </xf>
    <xf numFmtId="0" fontId="6" fillId="0" borderId="36" xfId="84" applyFont="1" applyBorder="1" applyAlignment="1">
      <alignment horizontal="center" vertical="center"/>
    </xf>
    <xf numFmtId="176" fontId="6" fillId="0" borderId="17" xfId="1" applyFont="1" applyBorder="1" applyAlignment="1">
      <alignment vertical="center"/>
    </xf>
    <xf numFmtId="0" fontId="3" fillId="0" borderId="0" xfId="84" applyFont="1" applyAlignment="1">
      <alignment horizontal="right" vertical="center"/>
    </xf>
    <xf numFmtId="181" fontId="3" fillId="0" borderId="0" xfId="84" applyNumberFormat="1" applyFont="1" applyAlignment="1">
      <alignment horizontal="right" vertical="center"/>
    </xf>
    <xf numFmtId="0" fontId="3" fillId="6" borderId="17" xfId="85" applyFont="1" applyFill="1" applyBorder="1" applyAlignment="1">
      <alignment vertical="center"/>
    </xf>
    <xf numFmtId="183" fontId="3" fillId="0" borderId="1" xfId="84" applyNumberFormat="1" applyFont="1" applyBorder="1" applyAlignment="1">
      <alignment horizontal="right" vertical="center"/>
    </xf>
    <xf numFmtId="183" fontId="3" fillId="5" borderId="1" xfId="143" applyNumberFormat="1" applyFont="1" applyFill="1" applyBorder="1" applyAlignment="1">
      <alignment horizontal="right" vertical="center"/>
    </xf>
    <xf numFmtId="181" fontId="3" fillId="0" borderId="0" xfId="84" applyNumberFormat="1" applyFont="1" applyAlignment="1">
      <alignment horizontal="center" vertical="center"/>
    </xf>
    <xf numFmtId="183" fontId="3" fillId="0" borderId="0" xfId="84" applyNumberFormat="1" applyFont="1"/>
    <xf numFmtId="0" fontId="3" fillId="0" borderId="41" xfId="84" applyFont="1" applyBorder="1"/>
    <xf numFmtId="0" fontId="3" fillId="3" borderId="42" xfId="85" applyFont="1" applyFill="1" applyBorder="1"/>
    <xf numFmtId="0" fontId="3" fillId="0" borderId="43" xfId="84" applyFont="1" applyBorder="1" applyAlignment="1">
      <alignment horizontal="center"/>
    </xf>
    <xf numFmtId="0" fontId="3" fillId="0" borderId="44" xfId="84" applyFont="1" applyBorder="1" applyAlignment="1">
      <alignment horizontal="center" shrinkToFit="1"/>
    </xf>
    <xf numFmtId="0" fontId="3" fillId="4" borderId="42" xfId="85" applyFont="1" applyFill="1" applyBorder="1"/>
    <xf numFmtId="0" fontId="3" fillId="6" borderId="42" xfId="85" applyFont="1" applyFill="1" applyBorder="1"/>
    <xf numFmtId="0" fontId="5" fillId="5" borderId="45" xfId="87" applyFont="1" applyFill="1" applyBorder="1" applyAlignment="1">
      <alignment horizontal="center" vertical="center" wrapText="1"/>
    </xf>
    <xf numFmtId="0" fontId="5" fillId="5" borderId="3" xfId="87" applyFont="1" applyFill="1" applyBorder="1" applyAlignment="1">
      <alignment horizontal="center" vertical="center" wrapText="1"/>
    </xf>
    <xf numFmtId="183" fontId="5" fillId="5" borderId="27" xfId="141" applyNumberFormat="1" applyFont="1" applyFill="1" applyBorder="1" applyAlignment="1">
      <alignment vertical="center" wrapText="1"/>
    </xf>
    <xf numFmtId="0" fontId="5" fillId="5" borderId="38" xfId="87" applyFont="1" applyFill="1" applyBorder="1" applyAlignment="1">
      <alignment vertical="center" wrapText="1"/>
    </xf>
    <xf numFmtId="0" fontId="5" fillId="5" borderId="39" xfId="87" applyFont="1" applyFill="1" applyBorder="1" applyAlignment="1">
      <alignment vertical="center" wrapText="1"/>
    </xf>
    <xf numFmtId="183" fontId="3" fillId="0" borderId="46" xfId="84" applyNumberFormat="1" applyFont="1" applyBorder="1"/>
    <xf numFmtId="16" fontId="3" fillId="0" borderId="47" xfId="84" applyNumberFormat="1" applyFont="1" applyBorder="1"/>
    <xf numFmtId="16" fontId="3" fillId="0" borderId="48" xfId="84" applyNumberFormat="1" applyFont="1" applyBorder="1"/>
    <xf numFmtId="183" fontId="3" fillId="5" borderId="43" xfId="141" applyNumberFormat="1" applyFont="1" applyFill="1" applyBorder="1" applyAlignment="1">
      <alignment horizontal="right" vertical="center"/>
    </xf>
    <xf numFmtId="16" fontId="3" fillId="5" borderId="47" xfId="141" applyNumberFormat="1" applyFont="1" applyFill="1" applyBorder="1" applyAlignment="1">
      <alignment horizontal="right" vertical="center"/>
    </xf>
    <xf numFmtId="0" fontId="3" fillId="5" borderId="47" xfId="141" applyFont="1" applyFill="1" applyBorder="1" applyAlignment="1">
      <alignment horizontal="center" vertical="center"/>
    </xf>
    <xf numFmtId="16" fontId="3" fillId="5" borderId="48" xfId="141" applyNumberFormat="1" applyFont="1" applyFill="1" applyBorder="1" applyAlignment="1">
      <alignment horizontal="right" vertical="center"/>
    </xf>
    <xf numFmtId="0" fontId="14" fillId="5" borderId="47" xfId="141" applyFont="1" applyFill="1" applyBorder="1" applyAlignment="1">
      <alignment horizontal="center" vertical="center"/>
    </xf>
    <xf numFmtId="16" fontId="3" fillId="0" borderId="0" xfId="84" applyNumberFormat="1" applyFont="1"/>
    <xf numFmtId="0" fontId="3" fillId="7" borderId="12" xfId="84" applyFont="1" applyFill="1" applyBorder="1" applyAlignment="1">
      <alignment horizontal="center"/>
    </xf>
    <xf numFmtId="0" fontId="3" fillId="0" borderId="49" xfId="84" applyFont="1" applyBorder="1"/>
    <xf numFmtId="0" fontId="3" fillId="0" borderId="24" xfId="84" applyFont="1" applyBorder="1" applyAlignment="1">
      <alignment horizontal="center"/>
    </xf>
    <xf numFmtId="0" fontId="3" fillId="0" borderId="26" xfId="84" applyFont="1" applyBorder="1" applyAlignment="1">
      <alignment horizontal="center" shrinkToFit="1"/>
    </xf>
    <xf numFmtId="0" fontId="3" fillId="6" borderId="23" xfId="85" applyFont="1" applyFill="1" applyBorder="1"/>
    <xf numFmtId="0" fontId="6" fillId="0" borderId="11" xfId="83" applyFont="1" applyBorder="1" applyAlignment="1">
      <alignment horizontal="center" vertical="center"/>
    </xf>
    <xf numFmtId="0" fontId="8" fillId="0" borderId="50" xfId="84" applyFont="1" applyBorder="1" applyAlignment="1">
      <alignment horizontal="center" vertical="center"/>
    </xf>
    <xf numFmtId="185" fontId="9" fillId="0" borderId="33" xfId="84" applyNumberFormat="1" applyFont="1" applyBorder="1" applyAlignment="1">
      <alignment horizontal="center" vertical="center"/>
    </xf>
    <xf numFmtId="0" fontId="8" fillId="0" borderId="37" xfId="84" applyFont="1" applyBorder="1" applyAlignment="1">
      <alignment horizontal="center" vertical="center"/>
    </xf>
    <xf numFmtId="186" fontId="9" fillId="0" borderId="50" xfId="84" applyNumberFormat="1" applyFont="1" applyBorder="1" applyAlignment="1">
      <alignment horizontal="right" vertical="center"/>
    </xf>
    <xf numFmtId="185" fontId="9" fillId="0" borderId="9" xfId="84" applyNumberFormat="1" applyFont="1" applyBorder="1" applyAlignment="1">
      <alignment horizontal="center" vertical="center" shrinkToFit="1"/>
    </xf>
    <xf numFmtId="0" fontId="8" fillId="0" borderId="0" xfId="84" applyFont="1" applyAlignment="1">
      <alignment horizontal="center" vertical="center"/>
    </xf>
    <xf numFmtId="183" fontId="3" fillId="0" borderId="21" xfId="84" applyNumberFormat="1" applyFont="1" applyBorder="1"/>
    <xf numFmtId="16" fontId="3" fillId="0" borderId="51" xfId="84" applyNumberFormat="1" applyFont="1" applyBorder="1"/>
    <xf numFmtId="16" fontId="3" fillId="0" borderId="22" xfId="84" applyNumberFormat="1" applyFont="1" applyBorder="1"/>
    <xf numFmtId="183" fontId="3" fillId="5" borderId="21" xfId="141" applyNumberFormat="1" applyFont="1" applyFill="1" applyBorder="1" applyAlignment="1">
      <alignment horizontal="right" vertical="center"/>
    </xf>
    <xf numFmtId="16" fontId="3" fillId="5" borderId="51" xfId="141" applyNumberFormat="1" applyFont="1" applyFill="1" applyBorder="1" applyAlignment="1">
      <alignment horizontal="right" vertical="center"/>
    </xf>
    <xf numFmtId="0" fontId="3" fillId="5" borderId="51" xfId="141" applyFont="1" applyFill="1" applyBorder="1" applyAlignment="1">
      <alignment horizontal="center" vertical="center"/>
    </xf>
    <xf numFmtId="16" fontId="3" fillId="5" borderId="22" xfId="141" applyNumberFormat="1" applyFont="1" applyFill="1" applyBorder="1" applyAlignment="1">
      <alignment horizontal="right" vertical="center"/>
    </xf>
    <xf numFmtId="183" fontId="8" fillId="0" borderId="0" xfId="84" applyNumberFormat="1" applyFont="1" applyAlignment="1">
      <alignment horizontal="center" vertical="center"/>
    </xf>
    <xf numFmtId="0" fontId="15" fillId="0" borderId="0" xfId="89" applyFont="1" applyAlignment="1">
      <alignment horizontal="center" vertical="center"/>
    </xf>
    <xf numFmtId="0" fontId="1" fillId="0" borderId="0" xfId="89" applyFont="1">
      <alignment vertical="center"/>
    </xf>
    <xf numFmtId="0" fontId="16" fillId="0" borderId="0" xfId="89" applyFont="1">
      <alignment vertical="center"/>
    </xf>
    <xf numFmtId="0" fontId="15" fillId="0" borderId="0" xfId="89" applyFont="1">
      <alignment vertical="center"/>
    </xf>
    <xf numFmtId="0" fontId="15" fillId="0" borderId="52" xfId="89" applyFont="1" applyBorder="1" applyAlignment="1">
      <alignment horizontal="center" vertical="center"/>
    </xf>
    <xf numFmtId="0" fontId="15" fillId="0" borderId="53" xfId="89" applyFont="1" applyBorder="1" applyAlignment="1">
      <alignment horizontal="center" vertical="center"/>
    </xf>
    <xf numFmtId="0" fontId="15" fillId="0" borderId="53" xfId="89" applyFont="1" applyBorder="1" applyAlignment="1">
      <alignment horizontal="center" vertical="center" wrapText="1"/>
    </xf>
    <xf numFmtId="0" fontId="15" fillId="0" borderId="40" xfId="89" applyFont="1" applyBorder="1" applyAlignment="1">
      <alignment horizontal="center" vertical="center"/>
    </xf>
    <xf numFmtId="0" fontId="15" fillId="0" borderId="1" xfId="89" applyFont="1" applyBorder="1" applyAlignment="1">
      <alignment horizontal="center" vertical="center"/>
    </xf>
    <xf numFmtId="0" fontId="15" fillId="0" borderId="1" xfId="89" applyFont="1" applyBorder="1" applyAlignment="1">
      <alignment horizontal="center" vertical="center" wrapText="1"/>
    </xf>
    <xf numFmtId="1" fontId="1" fillId="0" borderId="54" xfId="89" applyNumberFormat="1" applyFont="1" applyBorder="1" applyAlignment="1">
      <alignment horizontal="center" vertical="center"/>
    </xf>
    <xf numFmtId="1" fontId="1" fillId="0" borderId="55" xfId="89" applyNumberFormat="1" applyFont="1" applyBorder="1" applyAlignment="1">
      <alignment horizontal="center" vertical="center"/>
    </xf>
    <xf numFmtId="1" fontId="1" fillId="0" borderId="15" xfId="89" applyNumberFormat="1" applyFont="1" applyBorder="1" applyAlignment="1">
      <alignment horizontal="center" vertical="center"/>
    </xf>
    <xf numFmtId="0" fontId="1" fillId="0" borderId="1" xfId="89" applyFont="1" applyBorder="1" applyAlignment="1">
      <alignment horizontal="center" vertical="center"/>
    </xf>
    <xf numFmtId="0" fontId="1" fillId="0" borderId="40" xfId="89" applyFont="1" applyBorder="1" applyAlignment="1">
      <alignment horizontal="center" vertical="center"/>
    </xf>
    <xf numFmtId="0" fontId="15" fillId="0" borderId="54" xfId="89" applyFont="1" applyBorder="1" applyAlignment="1">
      <alignment horizontal="left" vertical="center"/>
    </xf>
    <xf numFmtId="0" fontId="15" fillId="0" borderId="55" xfId="89" applyFont="1" applyBorder="1" applyAlignment="1">
      <alignment horizontal="left" vertical="center"/>
    </xf>
    <xf numFmtId="0" fontId="15" fillId="0" borderId="15" xfId="89" applyFont="1" applyBorder="1" applyAlignment="1">
      <alignment horizontal="left" vertical="center"/>
    </xf>
    <xf numFmtId="0" fontId="16" fillId="0" borderId="21" xfId="89" applyFont="1" applyBorder="1" applyAlignment="1">
      <alignment horizontal="center" vertical="center"/>
    </xf>
    <xf numFmtId="0" fontId="16" fillId="0" borderId="51" xfId="89" applyFont="1" applyBorder="1" applyAlignment="1">
      <alignment horizontal="center" vertical="center"/>
    </xf>
    <xf numFmtId="0" fontId="15" fillId="0" borderId="53" xfId="88" applyFont="1" applyBorder="1" applyAlignment="1">
      <alignment horizontal="left" vertical="center" wrapText="1"/>
    </xf>
    <xf numFmtId="0" fontId="15" fillId="0" borderId="56" xfId="89" applyFont="1" applyBorder="1" applyAlignment="1">
      <alignment horizontal="left" vertical="center"/>
    </xf>
    <xf numFmtId="0" fontId="15" fillId="0" borderId="57" xfId="89" applyFont="1" applyBorder="1" applyAlignment="1">
      <alignment horizontal="left" vertical="center"/>
    </xf>
    <xf numFmtId="0" fontId="15" fillId="0" borderId="58" xfId="89" applyFont="1" applyBorder="1" applyAlignment="1">
      <alignment horizontal="left" vertical="center"/>
    </xf>
    <xf numFmtId="0" fontId="15" fillId="0" borderId="1" xfId="88" applyFont="1" applyBorder="1" applyAlignment="1">
      <alignment horizontal="left" vertical="center" wrapText="1"/>
    </xf>
    <xf numFmtId="0" fontId="2" fillId="0" borderId="1" xfId="89" applyFont="1" applyBorder="1" applyAlignment="1">
      <alignment horizontal="left" vertical="center"/>
    </xf>
    <xf numFmtId="0" fontId="2" fillId="0" borderId="13" xfId="89" applyFont="1" applyBorder="1" applyAlignment="1">
      <alignment horizontal="left" vertical="center"/>
    </xf>
    <xf numFmtId="0" fontId="15" fillId="0" borderId="13" xfId="89" applyFont="1" applyBorder="1" applyAlignment="1">
      <alignment horizontal="center" vertical="center"/>
    </xf>
    <xf numFmtId="58" fontId="1" fillId="0" borderId="59" xfId="89" applyNumberFormat="1" applyFont="1" applyBorder="1" applyAlignment="1">
      <alignment horizontal="center" vertical="center" shrinkToFit="1"/>
    </xf>
    <xf numFmtId="0" fontId="1" fillId="0" borderId="55" xfId="89" applyFont="1" applyBorder="1" applyAlignment="1">
      <alignment horizontal="center" vertical="center" shrinkToFit="1"/>
    </xf>
    <xf numFmtId="0" fontId="1" fillId="0" borderId="36" xfId="89" applyFont="1" applyBorder="1" applyAlignment="1">
      <alignment horizontal="center" vertical="center" shrinkToFit="1"/>
    </xf>
    <xf numFmtId="0" fontId="1" fillId="0" borderId="59" xfId="89" applyFont="1" applyBorder="1" applyAlignment="1">
      <alignment horizontal="center" vertical="center" shrinkToFit="1"/>
    </xf>
    <xf numFmtId="0" fontId="1" fillId="0" borderId="13" xfId="89" applyFont="1" applyBorder="1" applyAlignment="1">
      <alignment horizontal="center" vertical="center"/>
    </xf>
    <xf numFmtId="0" fontId="16" fillId="0" borderId="22" xfId="89" applyFont="1" applyBorder="1" applyAlignment="1">
      <alignment horizontal="center" vertical="center"/>
    </xf>
    <xf numFmtId="0" fontId="1" fillId="0" borderId="0" xfId="85" applyAlignment="1">
      <alignment vertical="center"/>
    </xf>
    <xf numFmtId="0" fontId="1" fillId="0" borderId="0" xfId="85" applyAlignment="1">
      <alignment horizontal="center" vertical="center"/>
    </xf>
    <xf numFmtId="0" fontId="1" fillId="0" borderId="0" xfId="85" applyAlignment="1">
      <alignment horizontal="center"/>
    </xf>
    <xf numFmtId="0" fontId="1" fillId="0" borderId="0" xfId="85" applyAlignment="1">
      <alignment horizontal="center" vertical="center" shrinkToFit="1"/>
    </xf>
    <xf numFmtId="43" fontId="1" fillId="0" borderId="0" xfId="85" applyNumberFormat="1" applyAlignment="1">
      <alignment horizontal="center" vertical="center"/>
    </xf>
    <xf numFmtId="43" fontId="1" fillId="0" borderId="0" xfId="85" applyNumberFormat="1" applyAlignment="1">
      <alignment horizontal="right"/>
    </xf>
    <xf numFmtId="43" fontId="1" fillId="0" borderId="0" xfId="85" applyNumberFormat="1"/>
    <xf numFmtId="0" fontId="1" fillId="0" borderId="0" xfId="85" applyAlignment="1">
      <alignment horizontal="center" shrinkToFit="1"/>
    </xf>
    <xf numFmtId="0" fontId="17" fillId="0" borderId="0" xfId="85" applyFont="1" applyAlignment="1">
      <alignment horizontal="center" vertical="center"/>
    </xf>
    <xf numFmtId="0" fontId="11" fillId="0" borderId="0" xfId="85" applyFont="1" applyAlignment="1">
      <alignment horizontal="center"/>
    </xf>
    <xf numFmtId="0" fontId="5" fillId="0" borderId="0" xfId="85" applyFont="1" applyAlignment="1">
      <alignment horizontal="left"/>
    </xf>
    <xf numFmtId="43" fontId="11" fillId="0" borderId="0" xfId="85" applyNumberFormat="1" applyFont="1"/>
    <xf numFmtId="49" fontId="5" fillId="0" borderId="0" xfId="85" applyNumberFormat="1" applyFont="1" applyAlignment="1">
      <alignment horizontal="left"/>
    </xf>
    <xf numFmtId="49" fontId="11" fillId="0" borderId="0" xfId="85" applyNumberFormat="1" applyFont="1" applyAlignment="1">
      <alignment horizontal="left"/>
    </xf>
    <xf numFmtId="49" fontId="6" fillId="0" borderId="0" xfId="85" applyNumberFormat="1" applyFont="1" applyAlignment="1">
      <alignment horizontal="center" vertical="center"/>
    </xf>
    <xf numFmtId="187" fontId="11" fillId="0" borderId="0" xfId="85" applyNumberFormat="1" applyFont="1" applyAlignment="1">
      <alignment horizontal="center" vertical="center" shrinkToFit="1"/>
    </xf>
    <xf numFmtId="43" fontId="11" fillId="0" borderId="0" xfId="85" applyNumberFormat="1" applyFont="1" applyAlignment="1">
      <alignment horizontal="center" vertical="center"/>
    </xf>
    <xf numFmtId="43" fontId="11" fillId="0" borderId="0" xfId="85" applyNumberFormat="1" applyFont="1" applyAlignment="1">
      <alignment horizontal="right"/>
    </xf>
    <xf numFmtId="0" fontId="11" fillId="2" borderId="52" xfId="85" applyFont="1" applyFill="1" applyBorder="1" applyAlignment="1">
      <alignment horizontal="center" vertical="center"/>
    </xf>
    <xf numFmtId="0" fontId="11" fillId="2" borderId="53" xfId="85" applyFont="1" applyFill="1" applyBorder="1" applyAlignment="1">
      <alignment horizontal="center" vertical="center" shrinkToFit="1"/>
    </xf>
    <xf numFmtId="43" fontId="11" fillId="2" borderId="53" xfId="85" applyNumberFormat="1" applyFont="1" applyFill="1" applyBorder="1" applyAlignment="1">
      <alignment horizontal="center" vertical="center" wrapText="1"/>
    </xf>
    <xf numFmtId="43" fontId="11" fillId="2" borderId="53" xfId="85" applyNumberFormat="1" applyFont="1" applyFill="1" applyBorder="1" applyAlignment="1">
      <alignment horizontal="center" vertical="center"/>
    </xf>
    <xf numFmtId="0" fontId="11" fillId="2" borderId="40" xfId="85" applyFont="1" applyFill="1" applyBorder="1" applyAlignment="1">
      <alignment horizontal="center" vertical="center"/>
    </xf>
    <xf numFmtId="0" fontId="11" fillId="2" borderId="1" xfId="85" applyFont="1" applyFill="1" applyBorder="1" applyAlignment="1">
      <alignment horizontal="center" vertical="center" shrinkToFit="1"/>
    </xf>
    <xf numFmtId="43" fontId="11" fillId="2" borderId="1" xfId="85" applyNumberFormat="1" applyFont="1" applyFill="1" applyBorder="1" applyAlignment="1">
      <alignment horizontal="center" vertical="center" wrapText="1"/>
    </xf>
    <xf numFmtId="43" fontId="11" fillId="2" borderId="1" xfId="85" applyNumberFormat="1" applyFont="1" applyFill="1" applyBorder="1" applyAlignment="1">
      <alignment horizontal="center" vertical="center"/>
    </xf>
    <xf numFmtId="0" fontId="11" fillId="2" borderId="21" xfId="85" applyFont="1" applyFill="1" applyBorder="1" applyAlignment="1">
      <alignment horizontal="center" vertical="center"/>
    </xf>
    <xf numFmtId="0" fontId="11" fillId="2" borderId="51" xfId="85" applyFont="1" applyFill="1" applyBorder="1" applyAlignment="1">
      <alignment horizontal="center" vertical="center" shrinkToFit="1"/>
    </xf>
    <xf numFmtId="43" fontId="11" fillId="2" borderId="51" xfId="85" applyNumberFormat="1" applyFont="1" applyFill="1" applyBorder="1" applyAlignment="1">
      <alignment horizontal="center" vertical="center" wrapText="1"/>
    </xf>
    <xf numFmtId="43" fontId="11" fillId="2" borderId="51" xfId="85" applyNumberFormat="1" applyFont="1" applyFill="1" applyBorder="1" applyAlignment="1">
      <alignment horizontal="center" vertical="center"/>
    </xf>
    <xf numFmtId="188" fontId="1" fillId="0" borderId="40" xfId="85" applyNumberFormat="1" applyBorder="1" applyAlignment="1">
      <alignment vertical="center"/>
    </xf>
    <xf numFmtId="0" fontId="18" fillId="0" borderId="1" xfId="85" applyFont="1" applyBorder="1" applyAlignment="1">
      <alignment horizontal="center" vertical="center" shrinkToFit="1"/>
    </xf>
    <xf numFmtId="43" fontId="1" fillId="0" borderId="1" xfId="85" applyNumberFormat="1" applyBorder="1" applyAlignment="1">
      <alignment vertical="center"/>
    </xf>
    <xf numFmtId="0" fontId="1" fillId="0" borderId="40" xfId="85" applyBorder="1" applyAlignment="1">
      <alignment horizontal="center" vertical="center"/>
    </xf>
    <xf numFmtId="43" fontId="1" fillId="0" borderId="1" xfId="85" applyNumberFormat="1" applyBorder="1" applyAlignment="1">
      <alignment horizontal="center" vertical="center"/>
    </xf>
    <xf numFmtId="43" fontId="1" fillId="0" borderId="1" xfId="85" applyNumberFormat="1" applyBorder="1" applyAlignment="1">
      <alignment horizontal="center" vertical="center" shrinkToFit="1"/>
    </xf>
    <xf numFmtId="0" fontId="1" fillId="0" borderId="40" xfId="85" applyBorder="1" applyAlignment="1">
      <alignment horizontal="center"/>
    </xf>
    <xf numFmtId="43" fontId="1" fillId="0" borderId="1" xfId="85" applyNumberFormat="1" applyBorder="1" applyAlignment="1">
      <alignment horizontal="right"/>
    </xf>
    <xf numFmtId="43" fontId="1" fillId="0" borderId="1" xfId="85" applyNumberFormat="1" applyBorder="1"/>
    <xf numFmtId="0" fontId="11" fillId="0" borderId="21" xfId="85" applyFont="1" applyBorder="1" applyAlignment="1">
      <alignment horizontal="center"/>
    </xf>
    <xf numFmtId="0" fontId="11" fillId="0" borderId="51" xfId="85" applyFont="1" applyBorder="1" applyAlignment="1">
      <alignment horizontal="center" vertical="center" shrinkToFit="1"/>
    </xf>
    <xf numFmtId="43" fontId="19" fillId="0" borderId="51" xfId="85" applyNumberFormat="1" applyFont="1" applyBorder="1" applyAlignment="1">
      <alignment horizontal="right"/>
    </xf>
    <xf numFmtId="43" fontId="11" fillId="0" borderId="7" xfId="85" applyNumberFormat="1" applyFont="1" applyBorder="1" applyAlignment="1">
      <alignment horizontal="center" vertical="center"/>
    </xf>
    <xf numFmtId="181" fontId="11" fillId="2" borderId="53" xfId="85" applyNumberFormat="1" applyFont="1" applyFill="1" applyBorder="1" applyAlignment="1">
      <alignment horizontal="center" vertical="center"/>
    </xf>
    <xf numFmtId="43" fontId="11" fillId="2" borderId="56" xfId="85" applyNumberFormat="1" applyFont="1" applyFill="1" applyBorder="1" applyAlignment="1">
      <alignment horizontal="center" vertical="center" wrapText="1"/>
    </xf>
    <xf numFmtId="43" fontId="11" fillId="2" borderId="52" xfId="85" applyNumberFormat="1" applyFont="1" applyFill="1" applyBorder="1" applyAlignment="1">
      <alignment horizontal="center" vertical="center" wrapText="1"/>
    </xf>
    <xf numFmtId="181" fontId="11" fillId="2" borderId="1" xfId="85" applyNumberFormat="1" applyFont="1" applyFill="1" applyBorder="1" applyAlignment="1">
      <alignment horizontal="center" vertical="center"/>
    </xf>
    <xf numFmtId="43" fontId="11" fillId="2" borderId="59" xfId="85" applyNumberFormat="1" applyFont="1" applyFill="1" applyBorder="1" applyAlignment="1">
      <alignment horizontal="center" vertical="center" wrapText="1"/>
    </xf>
    <xf numFmtId="43" fontId="11" fillId="2" borderId="40" xfId="85" applyNumberFormat="1" applyFont="1" applyFill="1" applyBorder="1" applyAlignment="1">
      <alignment horizontal="center" vertical="center" wrapText="1"/>
    </xf>
    <xf numFmtId="181" fontId="11" fillId="2" borderId="51" xfId="85" applyNumberFormat="1" applyFont="1" applyFill="1" applyBorder="1" applyAlignment="1">
      <alignment horizontal="center" vertical="center"/>
    </xf>
    <xf numFmtId="43" fontId="11" fillId="2" borderId="49" xfId="85" applyNumberFormat="1" applyFont="1" applyFill="1" applyBorder="1" applyAlignment="1">
      <alignment horizontal="center" vertical="center" wrapText="1"/>
    </xf>
    <xf numFmtId="43" fontId="11" fillId="2" borderId="21" xfId="85" applyNumberFormat="1" applyFont="1" applyFill="1" applyBorder="1" applyAlignment="1">
      <alignment horizontal="center" vertical="center" wrapText="1"/>
    </xf>
    <xf numFmtId="178" fontId="1" fillId="0" borderId="34" xfId="85" applyNumberFormat="1" applyBorder="1" applyAlignment="1">
      <alignment vertical="center"/>
    </xf>
    <xf numFmtId="43" fontId="1" fillId="0" borderId="59" xfId="85" applyNumberFormat="1" applyBorder="1" applyAlignment="1">
      <alignment vertical="center"/>
    </xf>
    <xf numFmtId="181" fontId="1" fillId="0" borderId="40" xfId="85" applyNumberFormat="1" applyBorder="1" applyAlignment="1">
      <alignment vertical="center"/>
    </xf>
    <xf numFmtId="181" fontId="1" fillId="0" borderId="16" xfId="85" applyNumberFormat="1" applyBorder="1" applyAlignment="1">
      <alignment vertical="center"/>
    </xf>
    <xf numFmtId="178" fontId="1" fillId="0" borderId="59" xfId="85" applyNumberFormat="1" applyBorder="1" applyAlignment="1">
      <alignment vertical="center"/>
    </xf>
    <xf numFmtId="178" fontId="1" fillId="0" borderId="59" xfId="85" applyNumberFormat="1" applyBorder="1" applyAlignment="1">
      <alignment horizontal="center" vertical="center"/>
    </xf>
    <xf numFmtId="178" fontId="1" fillId="0" borderId="1" xfId="85" applyNumberFormat="1" applyBorder="1" applyAlignment="1">
      <alignment horizontal="center" vertical="center"/>
    </xf>
    <xf numFmtId="178" fontId="1" fillId="0" borderId="59" xfId="85" applyNumberFormat="1" applyBorder="1"/>
    <xf numFmtId="178" fontId="1" fillId="0" borderId="40" xfId="85" applyNumberFormat="1" applyBorder="1"/>
    <xf numFmtId="178" fontId="1" fillId="0" borderId="1" xfId="85" applyNumberFormat="1" applyBorder="1"/>
    <xf numFmtId="43" fontId="19" fillId="0" borderId="49" xfId="85" applyNumberFormat="1" applyFont="1" applyBorder="1" applyAlignment="1">
      <alignment horizontal="right"/>
    </xf>
    <xf numFmtId="43" fontId="19" fillId="0" borderId="21" xfId="85" applyNumberFormat="1" applyFont="1" applyBorder="1" applyAlignment="1">
      <alignment horizontal="right"/>
    </xf>
    <xf numFmtId="0" fontId="10" fillId="0" borderId="0" xfId="85" applyFont="1" applyAlignment="1">
      <alignment horizontal="center" vertical="center"/>
    </xf>
    <xf numFmtId="0" fontId="11" fillId="0" borderId="0" xfId="85" applyFont="1" applyAlignment="1">
      <alignment horizontal="center" shrinkToFit="1"/>
    </xf>
    <xf numFmtId="43" fontId="11" fillId="0" borderId="60" xfId="85" applyNumberFormat="1" applyFont="1" applyBorder="1" applyAlignment="1">
      <alignment horizontal="center" vertical="center"/>
    </xf>
    <xf numFmtId="43" fontId="11" fillId="0" borderId="30" xfId="85" applyNumberFormat="1" applyFont="1" applyBorder="1" applyAlignment="1">
      <alignment horizontal="center" vertical="center"/>
    </xf>
    <xf numFmtId="43" fontId="11" fillId="2" borderId="61" xfId="85" applyNumberFormat="1" applyFont="1" applyFill="1" applyBorder="1" applyAlignment="1">
      <alignment horizontal="center" vertical="center" wrapText="1"/>
    </xf>
    <xf numFmtId="0" fontId="11" fillId="2" borderId="14" xfId="85" applyFont="1" applyFill="1" applyBorder="1" applyAlignment="1">
      <alignment horizontal="center" vertical="center" wrapText="1" shrinkToFit="1"/>
    </xf>
    <xf numFmtId="0" fontId="11" fillId="2" borderId="58" xfId="85" applyFont="1" applyFill="1" applyBorder="1" applyAlignment="1">
      <alignment horizontal="center" vertical="center" shrinkToFit="1"/>
    </xf>
    <xf numFmtId="0" fontId="5" fillId="2" borderId="62" xfId="85" applyFont="1" applyFill="1" applyBorder="1" applyAlignment="1">
      <alignment horizontal="center" vertical="center" wrapText="1"/>
    </xf>
    <xf numFmtId="0" fontId="5" fillId="2" borderId="53" xfId="85" applyFont="1" applyFill="1" applyBorder="1" applyAlignment="1">
      <alignment horizontal="center" vertical="center" wrapText="1"/>
    </xf>
    <xf numFmtId="0" fontId="5" fillId="2" borderId="63" xfId="85" applyFont="1" applyFill="1" applyBorder="1" applyAlignment="1">
      <alignment horizontal="center" vertical="center" wrapText="1"/>
    </xf>
    <xf numFmtId="43" fontId="11" fillId="2" borderId="54" xfId="85" applyNumberFormat="1" applyFont="1" applyFill="1" applyBorder="1" applyAlignment="1">
      <alignment horizontal="center" vertical="center" wrapText="1"/>
    </xf>
    <xf numFmtId="0" fontId="11" fillId="2" borderId="17" xfId="85" applyFont="1" applyFill="1" applyBorder="1" applyAlignment="1">
      <alignment horizontal="center" vertical="center" shrinkToFit="1"/>
    </xf>
    <xf numFmtId="0" fontId="11" fillId="2" borderId="36" xfId="85" applyFont="1" applyFill="1" applyBorder="1" applyAlignment="1">
      <alignment horizontal="center" vertical="center" shrinkToFit="1"/>
    </xf>
    <xf numFmtId="0" fontId="5" fillId="2" borderId="15" xfId="85" applyFont="1" applyFill="1" applyBorder="1" applyAlignment="1">
      <alignment horizontal="center" vertical="center" wrapText="1"/>
    </xf>
    <xf numFmtId="0" fontId="5" fillId="2" borderId="1" xfId="85" applyFont="1" applyFill="1" applyBorder="1" applyAlignment="1">
      <alignment horizontal="center" vertical="center" wrapText="1"/>
    </xf>
    <xf numFmtId="0" fontId="5" fillId="2" borderId="13" xfId="85" applyFont="1" applyFill="1" applyBorder="1" applyAlignment="1">
      <alignment horizontal="center" vertical="center" wrapText="1"/>
    </xf>
    <xf numFmtId="43" fontId="11" fillId="2" borderId="25" xfId="85" applyNumberFormat="1" applyFont="1" applyFill="1" applyBorder="1" applyAlignment="1">
      <alignment horizontal="center" vertical="center" wrapText="1"/>
    </xf>
    <xf numFmtId="0" fontId="11" fillId="2" borderId="23" xfId="85" applyFont="1" applyFill="1" applyBorder="1" applyAlignment="1">
      <alignment horizontal="center" vertical="center" shrinkToFit="1"/>
    </xf>
    <xf numFmtId="0" fontId="11" fillId="2" borderId="26" xfId="85" applyFont="1" applyFill="1" applyBorder="1" applyAlignment="1">
      <alignment horizontal="center" vertical="center" shrinkToFit="1"/>
    </xf>
    <xf numFmtId="0" fontId="5" fillId="2" borderId="24" xfId="85" applyFont="1" applyFill="1" applyBorder="1" applyAlignment="1">
      <alignment horizontal="center" vertical="center" wrapText="1"/>
    </xf>
    <xf numFmtId="0" fontId="5" fillId="2" borderId="51" xfId="85" applyFont="1" applyFill="1" applyBorder="1" applyAlignment="1">
      <alignment horizontal="center" vertical="center" wrapText="1"/>
    </xf>
    <xf numFmtId="0" fontId="5" fillId="2" borderId="22" xfId="85" applyFont="1" applyFill="1" applyBorder="1" applyAlignment="1">
      <alignment horizontal="center" vertical="center" wrapText="1"/>
    </xf>
    <xf numFmtId="181" fontId="1" fillId="0" borderId="59" xfId="85" applyNumberFormat="1" applyBorder="1" applyAlignment="1">
      <alignment vertical="center"/>
    </xf>
    <xf numFmtId="0" fontId="1" fillId="0" borderId="17" xfId="85" applyBorder="1" applyAlignment="1">
      <alignment horizontal="center" vertical="center" shrinkToFit="1"/>
    </xf>
    <xf numFmtId="0" fontId="2" fillId="0" borderId="17" xfId="85" applyFont="1" applyBorder="1" applyAlignment="1">
      <alignment horizontal="left" vertical="center" wrapText="1" shrinkToFit="1"/>
    </xf>
    <xf numFmtId="0" fontId="1" fillId="0" borderId="13" xfId="85" applyBorder="1" applyAlignment="1">
      <alignment horizontal="center" vertical="center"/>
    </xf>
    <xf numFmtId="0" fontId="18" fillId="0" borderId="17" xfId="85" applyFont="1" applyBorder="1" applyAlignment="1">
      <alignment horizontal="left" vertical="center" wrapText="1" shrinkToFit="1"/>
    </xf>
    <xf numFmtId="181" fontId="1" fillId="0" borderId="54" xfId="85" applyNumberFormat="1" applyBorder="1" applyAlignment="1">
      <alignment vertical="center"/>
    </xf>
    <xf numFmtId="0" fontId="2" fillId="0" borderId="17" xfId="85" applyFont="1" applyBorder="1" applyAlignment="1">
      <alignment horizontal="center" shrinkToFit="1"/>
    </xf>
    <xf numFmtId="180" fontId="1" fillId="0" borderId="13" xfId="85" applyNumberFormat="1" applyBorder="1" applyAlignment="1">
      <alignment horizontal="center" vertical="center"/>
    </xf>
    <xf numFmtId="0" fontId="1" fillId="0" borderId="17" xfId="85" applyBorder="1" applyAlignment="1">
      <alignment horizontal="center" shrinkToFit="1"/>
    </xf>
    <xf numFmtId="0" fontId="1" fillId="0" borderId="36" xfId="85" applyBorder="1"/>
    <xf numFmtId="43" fontId="19" fillId="0" borderId="25" xfId="85" applyNumberFormat="1" applyFont="1" applyBorder="1" applyAlignment="1">
      <alignment horizontal="right"/>
    </xf>
    <xf numFmtId="0" fontId="11" fillId="0" borderId="23" xfId="85" applyFont="1" applyBorder="1" applyAlignment="1">
      <alignment horizontal="center" shrinkToFit="1"/>
    </xf>
    <xf numFmtId="2" fontId="1" fillId="0" borderId="26" xfId="85" applyNumberFormat="1" applyBorder="1"/>
    <xf numFmtId="180" fontId="1" fillId="0" borderId="24" xfId="85" applyNumberFormat="1" applyBorder="1"/>
    <xf numFmtId="180" fontId="1" fillId="0" borderId="51" xfId="85" applyNumberFormat="1" applyBorder="1"/>
    <xf numFmtId="0" fontId="1" fillId="0" borderId="22" xfId="85" applyBorder="1" applyAlignment="1">
      <alignment horizontal="center" vertical="center"/>
    </xf>
    <xf numFmtId="0" fontId="1" fillId="0" borderId="15" xfId="85" applyBorder="1" applyAlignment="1">
      <alignment horizontal="center" vertical="center"/>
    </xf>
    <xf numFmtId="188" fontId="1" fillId="0" borderId="19" xfId="85" applyNumberFormat="1" applyBorder="1" applyAlignment="1">
      <alignment vertical="center"/>
    </xf>
    <xf numFmtId="1" fontId="1" fillId="0" borderId="15" xfId="86" applyNumberFormat="1" applyBorder="1" applyAlignment="1">
      <alignment horizontal="center" vertical="center"/>
    </xf>
    <xf numFmtId="188" fontId="1" fillId="0" borderId="19" xfId="86" applyNumberFormat="1" applyBorder="1" applyAlignment="1">
      <alignment vertical="center"/>
    </xf>
    <xf numFmtId="0" fontId="18" fillId="0" borderId="1" xfId="86" applyFont="1" applyBorder="1" applyAlignment="1">
      <alignment horizontal="center" vertical="center" shrinkToFit="1"/>
    </xf>
    <xf numFmtId="2" fontId="20" fillId="0" borderId="0" xfId="55" applyNumberFormat="1" applyFont="1">
      <alignment vertical="center"/>
    </xf>
    <xf numFmtId="178" fontId="1" fillId="0" borderId="34" xfId="86" applyNumberFormat="1" applyBorder="1" applyAlignment="1">
      <alignment vertical="center"/>
    </xf>
    <xf numFmtId="188" fontId="1" fillId="0" borderId="19" xfId="85" applyNumberFormat="1" applyBorder="1" applyAlignment="1">
      <alignment vertical="center" shrinkToFit="1"/>
    </xf>
    <xf numFmtId="0" fontId="1" fillId="0" borderId="19" xfId="85" applyBorder="1" applyAlignment="1">
      <alignment horizontal="center" vertical="center"/>
    </xf>
    <xf numFmtId="1" fontId="1" fillId="0" borderId="46" xfId="0" applyNumberFormat="1" applyFont="1" applyBorder="1" applyAlignment="1">
      <alignment horizontal="center" vertical="center"/>
    </xf>
    <xf numFmtId="43" fontId="21" fillId="0" borderId="1" xfId="85" applyNumberFormat="1" applyFont="1" applyBorder="1" applyAlignment="1">
      <alignment vertical="center"/>
    </xf>
    <xf numFmtId="1" fontId="1" fillId="0" borderId="46" xfId="0" applyNumberFormat="1" applyFont="1" applyBorder="1" applyAlignment="1">
      <alignment horizontal="left" vertical="center"/>
    </xf>
    <xf numFmtId="0" fontId="18" fillId="0" borderId="1" xfId="85" applyFont="1" applyBorder="1" applyAlignment="1">
      <alignment horizontal="left" vertical="center" shrinkToFit="1"/>
    </xf>
    <xf numFmtId="0" fontId="1" fillId="0" borderId="15" xfId="85" applyBorder="1" applyAlignment="1">
      <alignment horizontal="left"/>
    </xf>
    <xf numFmtId="0" fontId="18" fillId="0" borderId="47" xfId="85" applyFont="1" applyBorder="1" applyAlignment="1">
      <alignment horizontal="left" vertical="center" shrinkToFit="1"/>
    </xf>
    <xf numFmtId="43" fontId="1" fillId="0" borderId="47" xfId="85" applyNumberFormat="1" applyBorder="1" applyAlignment="1">
      <alignment horizontal="center" vertical="center"/>
    </xf>
    <xf numFmtId="43" fontId="1" fillId="0" borderId="47" xfId="85" applyNumberFormat="1" applyBorder="1" applyAlignment="1">
      <alignment horizontal="right"/>
    </xf>
    <xf numFmtId="43" fontId="1" fillId="0" borderId="47" xfId="85" applyNumberFormat="1" applyBorder="1"/>
    <xf numFmtId="43" fontId="1" fillId="0" borderId="47" xfId="85" applyNumberFormat="1" applyBorder="1" applyAlignment="1">
      <alignment vertical="center"/>
    </xf>
    <xf numFmtId="0" fontId="1" fillId="0" borderId="15" xfId="85" applyBorder="1" applyAlignment="1">
      <alignment horizontal="center"/>
    </xf>
    <xf numFmtId="0" fontId="18" fillId="0" borderId="47" xfId="85" applyFont="1" applyBorder="1" applyAlignment="1">
      <alignment horizontal="center" vertical="center" shrinkToFit="1"/>
    </xf>
    <xf numFmtId="189" fontId="22" fillId="0" borderId="40" xfId="85" applyNumberFormat="1" applyFont="1" applyBorder="1" applyAlignment="1">
      <alignment vertical="center"/>
    </xf>
    <xf numFmtId="178" fontId="1" fillId="0" borderId="1" xfId="86" applyNumberFormat="1" applyBorder="1" applyAlignment="1">
      <alignment vertical="center"/>
    </xf>
    <xf numFmtId="178" fontId="1" fillId="0" borderId="35" xfId="86" applyNumberFormat="1" applyBorder="1" applyAlignment="1">
      <alignment vertical="center"/>
    </xf>
    <xf numFmtId="181" fontId="21" fillId="0" borderId="59" xfId="86" applyNumberFormat="1" applyFont="1" applyBorder="1" applyAlignment="1">
      <alignment vertical="center"/>
    </xf>
    <xf numFmtId="43" fontId="1" fillId="0" borderId="35" xfId="85" applyNumberFormat="1" applyBorder="1" applyAlignment="1">
      <alignment vertical="center"/>
    </xf>
    <xf numFmtId="43" fontId="21" fillId="0" borderId="15" xfId="85" applyNumberFormat="1" applyFont="1" applyBorder="1" applyAlignment="1">
      <alignment horizontal="center" vertical="center"/>
    </xf>
    <xf numFmtId="181" fontId="21" fillId="0" borderId="40" xfId="85" applyNumberFormat="1" applyFont="1" applyBorder="1" applyAlignment="1">
      <alignment vertical="center"/>
    </xf>
    <xf numFmtId="181" fontId="1" fillId="0" borderId="15" xfId="85" applyNumberFormat="1" applyBorder="1" applyAlignment="1">
      <alignment vertical="center"/>
    </xf>
    <xf numFmtId="181" fontId="1" fillId="0" borderId="64" xfId="85" applyNumberFormat="1" applyBorder="1" applyAlignment="1">
      <alignment vertical="center"/>
    </xf>
    <xf numFmtId="181" fontId="1" fillId="0" borderId="46" xfId="85" applyNumberFormat="1" applyBorder="1" applyAlignment="1">
      <alignment vertical="center"/>
    </xf>
    <xf numFmtId="178" fontId="1" fillId="0" borderId="47" xfId="85" applyNumberFormat="1" applyBorder="1" applyAlignment="1">
      <alignment horizontal="center" vertical="center"/>
    </xf>
    <xf numFmtId="189" fontId="22" fillId="0" borderId="59" xfId="85" applyNumberFormat="1" applyFont="1" applyBorder="1" applyAlignment="1">
      <alignment vertical="center"/>
    </xf>
    <xf numFmtId="189" fontId="22" fillId="0" borderId="16" xfId="85" applyNumberFormat="1" applyFont="1" applyBorder="1" applyAlignment="1">
      <alignment vertical="center"/>
    </xf>
    <xf numFmtId="0" fontId="2" fillId="0" borderId="20" xfId="85" applyFont="1" applyBorder="1" applyAlignment="1">
      <alignment horizontal="center" vertical="center" wrapText="1" shrinkToFit="1"/>
    </xf>
    <xf numFmtId="180" fontId="1" fillId="0" borderId="1" xfId="85" applyNumberFormat="1" applyBorder="1" applyAlignment="1">
      <alignment horizontal="center" vertical="center"/>
    </xf>
    <xf numFmtId="16" fontId="1" fillId="0" borderId="0" xfId="85" applyNumberFormat="1" applyAlignment="1">
      <alignment horizontal="right" vertical="center"/>
    </xf>
    <xf numFmtId="181" fontId="21" fillId="0" borderId="16" xfId="85" applyNumberFormat="1" applyFont="1" applyBorder="1" applyAlignment="1">
      <alignment vertical="center"/>
    </xf>
    <xf numFmtId="0" fontId="1" fillId="0" borderId="17" xfId="86" applyBorder="1" applyAlignment="1">
      <alignment horizontal="center" vertical="center" shrinkToFit="1"/>
    </xf>
    <xf numFmtId="0" fontId="2" fillId="0" borderId="20" xfId="86" applyFont="1" applyBorder="1" applyAlignment="1">
      <alignment horizontal="center" vertical="center" wrapText="1" shrinkToFit="1"/>
    </xf>
    <xf numFmtId="180" fontId="1" fillId="0" borderId="15" xfId="86" applyNumberFormat="1" applyBorder="1" applyAlignment="1">
      <alignment horizontal="center" vertical="center" wrapText="1"/>
    </xf>
    <xf numFmtId="0" fontId="1" fillId="0" borderId="13" xfId="86" applyBorder="1" applyAlignment="1">
      <alignment horizontal="center" vertical="center"/>
    </xf>
    <xf numFmtId="16" fontId="1" fillId="0" borderId="0" xfId="86" applyNumberFormat="1" applyAlignment="1">
      <alignment vertical="center"/>
    </xf>
    <xf numFmtId="181" fontId="21" fillId="0" borderId="59" xfId="85" applyNumberFormat="1" applyFont="1" applyBorder="1" applyAlignment="1">
      <alignment vertical="center"/>
    </xf>
    <xf numFmtId="16" fontId="1" fillId="0" borderId="0" xfId="85" applyNumberFormat="1" applyAlignment="1">
      <alignment vertical="center"/>
    </xf>
    <xf numFmtId="183" fontId="23" fillId="0" borderId="17" xfId="85" applyNumberFormat="1" applyFont="1" applyBorder="1" applyAlignment="1">
      <alignment horizontal="center" vertical="center" wrapText="1" shrinkToFit="1"/>
    </xf>
    <xf numFmtId="2" fontId="2" fillId="0" borderId="20" xfId="85" applyNumberFormat="1" applyFont="1" applyBorder="1" applyAlignment="1">
      <alignment horizontal="center" vertical="center" wrapText="1"/>
    </xf>
    <xf numFmtId="183" fontId="18" fillId="0" borderId="17" xfId="85" applyNumberFormat="1" applyFont="1" applyBorder="1" applyAlignment="1">
      <alignment horizontal="left" vertical="center" wrapText="1" shrinkToFit="1"/>
    </xf>
    <xf numFmtId="180" fontId="1" fillId="0" borderId="1" xfId="85" applyNumberFormat="1" applyBorder="1" applyAlignment="1">
      <alignment horizontal="center"/>
    </xf>
    <xf numFmtId="16" fontId="1" fillId="0" borderId="0" xfId="85" applyNumberFormat="1"/>
    <xf numFmtId="183" fontId="18" fillId="0" borderId="36" xfId="85" applyNumberFormat="1" applyFont="1" applyBorder="1" applyAlignment="1">
      <alignment horizontal="left" vertical="center" wrapText="1" shrinkToFit="1"/>
    </xf>
    <xf numFmtId="0" fontId="1" fillId="0" borderId="42" xfId="85" applyBorder="1" applyAlignment="1">
      <alignment horizontal="center" shrinkToFit="1"/>
    </xf>
    <xf numFmtId="180" fontId="1" fillId="0" borderId="43" xfId="85" applyNumberFormat="1" applyBorder="1" applyAlignment="1">
      <alignment horizontal="center" vertical="center" wrapText="1"/>
    </xf>
    <xf numFmtId="180" fontId="1" fillId="0" borderId="47" xfId="85" applyNumberFormat="1" applyBorder="1" applyAlignment="1">
      <alignment horizontal="center"/>
    </xf>
    <xf numFmtId="0" fontId="1" fillId="0" borderId="48" xfId="85" applyBorder="1" applyAlignment="1">
      <alignment horizontal="center" vertical="center"/>
    </xf>
    <xf numFmtId="181" fontId="21" fillId="0" borderId="18" xfId="85" applyNumberFormat="1" applyFont="1" applyBorder="1" applyAlignment="1">
      <alignment vertical="center"/>
    </xf>
    <xf numFmtId="183" fontId="18" fillId="0" borderId="44" xfId="85" applyNumberFormat="1" applyFont="1" applyBorder="1" applyAlignment="1">
      <alignment horizontal="left" vertical="center" wrapText="1" shrinkToFit="1"/>
    </xf>
    <xf numFmtId="180" fontId="1" fillId="0" borderId="47" xfId="85" applyNumberFormat="1" applyBorder="1"/>
    <xf numFmtId="181" fontId="21" fillId="0" borderId="65" xfId="85" applyNumberFormat="1" applyFont="1" applyBorder="1" applyAlignment="1">
      <alignment vertical="center"/>
    </xf>
    <xf numFmtId="0" fontId="5" fillId="0" borderId="0" xfId="85" applyFont="1" applyAlignment="1">
      <alignment horizontal="center"/>
    </xf>
    <xf numFmtId="0" fontId="3" fillId="0" borderId="19" xfId="84" applyFont="1" applyBorder="1" applyAlignment="1">
      <alignment horizontal="center"/>
    </xf>
    <xf numFmtId="0" fontId="3" fillId="0" borderId="20" xfId="84" applyFont="1" applyBorder="1" applyAlignment="1">
      <alignment horizontal="center"/>
    </xf>
    <xf numFmtId="0" fontId="3" fillId="6" borderId="17" xfId="85" applyFont="1" applyFill="1" applyBorder="1"/>
    <xf numFmtId="183" fontId="3" fillId="0" borderId="12" xfId="84" applyNumberFormat="1" applyFont="1" applyBorder="1"/>
    <xf numFmtId="0" fontId="3" fillId="0" borderId="15" xfId="84" applyFont="1" applyBorder="1" applyAlignment="1">
      <alignment horizontal="center"/>
    </xf>
    <xf numFmtId="183" fontId="3" fillId="0" borderId="40" xfId="84" applyNumberFormat="1" applyFont="1" applyBorder="1"/>
    <xf numFmtId="0" fontId="3" fillId="4" borderId="17" xfId="85" applyFont="1" applyFill="1" applyBorder="1"/>
    <xf numFmtId="0" fontId="3" fillId="0" borderId="36" xfId="84" applyFont="1" applyBorder="1" applyAlignment="1">
      <alignment horizontal="center"/>
    </xf>
    <xf numFmtId="0" fontId="3" fillId="0" borderId="19" xfId="84" applyFont="1" applyBorder="1" applyAlignment="1">
      <alignment horizontal="center" vertical="center"/>
    </xf>
    <xf numFmtId="0" fontId="3" fillId="0" borderId="26" xfId="84" applyFont="1" applyBorder="1" applyAlignment="1">
      <alignment horizontal="center"/>
    </xf>
    <xf numFmtId="0" fontId="6" fillId="0" borderId="8" xfId="83" applyFont="1" applyBorder="1" applyAlignment="1">
      <alignment horizontal="center"/>
    </xf>
    <xf numFmtId="0" fontId="5" fillId="0" borderId="66" xfId="84" applyFont="1" applyBorder="1" applyAlignment="1">
      <alignment vertical="center"/>
    </xf>
    <xf numFmtId="182" fontId="9" fillId="0" borderId="8" xfId="84" applyNumberFormat="1" applyFont="1" applyBorder="1" applyAlignment="1">
      <alignment vertical="center"/>
    </xf>
    <xf numFmtId="0" fontId="5" fillId="0" borderId="11" xfId="84" applyFont="1" applyBorder="1" applyAlignment="1">
      <alignment horizontal="center" vertical="center"/>
    </xf>
    <xf numFmtId="181" fontId="9" fillId="0" borderId="10" xfId="84" applyNumberFormat="1" applyFont="1" applyBorder="1" applyAlignment="1">
      <alignment vertical="center"/>
    </xf>
    <xf numFmtId="0" fontId="3" fillId="0" borderId="32" xfId="84" applyFont="1" applyBorder="1" applyAlignment="1">
      <alignment horizontal="center"/>
    </xf>
    <xf numFmtId="0" fontId="6" fillId="0" borderId="0" xfId="83" applyFont="1" applyAlignment="1">
      <alignment horizontal="center"/>
    </xf>
    <xf numFmtId="0" fontId="5" fillId="0" borderId="0" xfId="84" applyFont="1" applyAlignment="1">
      <alignment vertical="center"/>
    </xf>
    <xf numFmtId="185" fontId="9" fillId="0" borderId="0" xfId="84" applyNumberFormat="1" applyFont="1" applyAlignment="1">
      <alignment vertical="center"/>
    </xf>
    <xf numFmtId="0" fontId="5" fillId="0" borderId="0" xfId="84" applyFont="1" applyAlignment="1">
      <alignment horizontal="center" vertical="center"/>
    </xf>
    <xf numFmtId="0" fontId="3" fillId="0" borderId="18" xfId="84" applyFont="1" applyBorder="1" applyAlignment="1">
      <alignment horizontal="center"/>
    </xf>
    <xf numFmtId="0" fontId="3" fillId="0" borderId="23" xfId="84" applyFont="1" applyBorder="1" applyAlignment="1">
      <alignment horizontal="center"/>
    </xf>
    <xf numFmtId="0" fontId="5" fillId="0" borderId="10" xfId="84" applyFont="1" applyBorder="1" applyAlignment="1">
      <alignment horizontal="center" vertical="center"/>
    </xf>
    <xf numFmtId="181" fontId="9" fillId="0" borderId="32" xfId="84" applyNumberFormat="1" applyFont="1" applyBorder="1" applyAlignment="1">
      <alignment vertical="center"/>
    </xf>
    <xf numFmtId="183" fontId="5" fillId="5" borderId="27" xfId="140" applyNumberFormat="1" applyFont="1" applyFill="1" applyBorder="1" applyAlignment="1">
      <alignment vertical="center" wrapText="1"/>
    </xf>
    <xf numFmtId="16" fontId="3" fillId="0" borderId="34" xfId="84" applyNumberFormat="1" applyFont="1" applyBorder="1"/>
    <xf numFmtId="16" fontId="3" fillId="0" borderId="35" xfId="84" applyNumberFormat="1" applyFont="1" applyBorder="1"/>
    <xf numFmtId="183" fontId="3" fillId="5" borderId="19" xfId="140" applyNumberFormat="1" applyFont="1" applyFill="1" applyBorder="1">
      <alignment vertical="center"/>
    </xf>
    <xf numFmtId="16" fontId="3" fillId="5" borderId="34" xfId="140" applyNumberFormat="1" applyFont="1" applyFill="1" applyBorder="1" applyAlignment="1">
      <alignment horizontal="right" vertical="center"/>
    </xf>
    <xf numFmtId="0" fontId="3" fillId="5" borderId="34" xfId="140" applyFont="1" applyFill="1" applyBorder="1" applyAlignment="1">
      <alignment horizontal="center" vertical="center"/>
    </xf>
    <xf numFmtId="16" fontId="3" fillId="5" borderId="34" xfId="140" applyNumberFormat="1" applyFont="1" applyFill="1" applyBorder="1" applyAlignment="1">
      <alignment horizontal="center" vertical="center"/>
    </xf>
    <xf numFmtId="16" fontId="3" fillId="5" borderId="13" xfId="140" applyNumberFormat="1" applyFont="1" applyFill="1" applyBorder="1" applyAlignment="1">
      <alignment horizontal="right" vertical="center"/>
    </xf>
    <xf numFmtId="16" fontId="3" fillId="0" borderId="13" xfId="84" applyNumberFormat="1" applyFont="1" applyBorder="1"/>
    <xf numFmtId="0" fontId="3" fillId="5" borderId="1" xfId="140" applyFont="1" applyFill="1" applyBorder="1" applyAlignment="1">
      <alignment horizontal="center" vertical="center"/>
    </xf>
    <xf numFmtId="16" fontId="3" fillId="5" borderId="1" xfId="140" applyNumberFormat="1" applyFont="1" applyFill="1" applyBorder="1" applyAlignment="1">
      <alignment horizontal="center" vertical="center"/>
    </xf>
    <xf numFmtId="16" fontId="3" fillId="5" borderId="1" xfId="140" applyNumberFormat="1" applyFont="1" applyFill="1" applyBorder="1" applyAlignment="1">
      <alignment horizontal="right" vertical="center"/>
    </xf>
    <xf numFmtId="183" fontId="3" fillId="5" borderId="15" xfId="140" applyNumberFormat="1" applyFont="1" applyFill="1" applyBorder="1">
      <alignment vertical="center"/>
    </xf>
    <xf numFmtId="16" fontId="24" fillId="0" borderId="13" xfId="84" applyNumberFormat="1" applyFont="1" applyBorder="1"/>
    <xf numFmtId="16" fontId="3" fillId="0" borderId="1" xfId="84" applyNumberFormat="1" applyFont="1" applyBorder="1"/>
    <xf numFmtId="183" fontId="3" fillId="5" borderId="15" xfId="140" applyNumberFormat="1" applyFont="1" applyFill="1" applyBorder="1" applyAlignment="1">
      <alignment horizontal="right" vertical="center"/>
    </xf>
    <xf numFmtId="183" fontId="3" fillId="5" borderId="24" xfId="140" applyNumberFormat="1" applyFont="1" applyFill="1" applyBorder="1" applyAlignment="1">
      <alignment horizontal="right" vertical="center"/>
    </xf>
    <xf numFmtId="16" fontId="3" fillId="5" borderId="51" xfId="140" applyNumberFormat="1" applyFont="1" applyFill="1" applyBorder="1" applyAlignment="1">
      <alignment horizontal="right" vertical="center"/>
    </xf>
    <xf numFmtId="0" fontId="3" fillId="5" borderId="51" xfId="140" applyFont="1" applyFill="1" applyBorder="1" applyAlignment="1">
      <alignment horizontal="center" vertical="center"/>
    </xf>
    <xf numFmtId="16" fontId="3" fillId="5" borderId="22" xfId="140" applyNumberFormat="1" applyFont="1" applyFill="1" applyBorder="1" applyAlignment="1">
      <alignment horizontal="right" vertical="center"/>
    </xf>
    <xf numFmtId="182" fontId="9" fillId="0" borderId="11" xfId="84" applyNumberFormat="1" applyFont="1" applyBorder="1" applyAlignment="1">
      <alignment vertical="center"/>
    </xf>
    <xf numFmtId="0" fontId="6" fillId="0" borderId="2" xfId="83" applyFont="1" applyBorder="1" applyAlignment="1">
      <alignment horizontal="center" vertical="center"/>
    </xf>
    <xf numFmtId="0" fontId="8" fillId="0" borderId="67" xfId="84" applyFont="1" applyBorder="1" applyAlignment="1">
      <alignment horizontal="center" vertical="center"/>
    </xf>
    <xf numFmtId="185" fontId="9" fillId="0" borderId="38" xfId="84" applyNumberFormat="1" applyFont="1" applyBorder="1" applyAlignment="1">
      <alignment horizontal="center" vertical="center"/>
    </xf>
    <xf numFmtId="0" fontId="8" fillId="0" borderId="45" xfId="84" applyFont="1" applyBorder="1" applyAlignment="1">
      <alignment horizontal="center" vertical="center"/>
    </xf>
    <xf numFmtId="186" fontId="9" fillId="0" borderId="67" xfId="84" applyNumberFormat="1" applyFont="1" applyBorder="1" applyAlignment="1">
      <alignment horizontal="right" vertical="center"/>
    </xf>
    <xf numFmtId="185" fontId="9" fillId="0" borderId="39" xfId="84" applyNumberFormat="1" applyFont="1" applyBorder="1" applyAlignment="1">
      <alignment horizontal="center" vertical="center"/>
    </xf>
    <xf numFmtId="0" fontId="1" fillId="0" borderId="0" xfId="85" applyAlignment="1">
      <alignment shrinkToFit="1"/>
    </xf>
    <xf numFmtId="43" fontId="1" fillId="0" borderId="0" xfId="85" applyNumberFormat="1" applyAlignment="1">
      <alignment vertical="center"/>
    </xf>
    <xf numFmtId="43" fontId="1" fillId="0" borderId="0" xfId="85" applyNumberFormat="1" applyAlignment="1">
      <alignment horizontal="center"/>
    </xf>
    <xf numFmtId="180" fontId="1" fillId="0" borderId="0" xfId="85" applyNumberFormat="1" applyAlignment="1">
      <alignment horizontal="center"/>
    </xf>
    <xf numFmtId="183" fontId="1" fillId="0" borderId="0" xfId="85" applyNumberFormat="1" applyAlignment="1">
      <alignment horizontal="center" vertical="center"/>
    </xf>
    <xf numFmtId="183" fontId="1" fillId="0" borderId="0" xfId="85" applyNumberFormat="1"/>
    <xf numFmtId="190" fontId="1" fillId="0" borderId="0" xfId="85" applyNumberFormat="1" applyAlignment="1">
      <alignment horizontal="center"/>
    </xf>
    <xf numFmtId="183" fontId="3" fillId="0" borderId="0" xfId="85" applyNumberFormat="1" applyFont="1" applyAlignment="1">
      <alignment horizontal="left"/>
    </xf>
    <xf numFmtId="187" fontId="11" fillId="0" borderId="0" xfId="85" applyNumberFormat="1" applyFont="1" applyAlignment="1">
      <alignment horizontal="left" shrinkToFit="1"/>
    </xf>
    <xf numFmtId="0" fontId="11" fillId="2" borderId="61" xfId="85" applyFont="1" applyFill="1" applyBorder="1" applyAlignment="1">
      <alignment horizontal="center" vertical="center"/>
    </xf>
    <xf numFmtId="0" fontId="11" fillId="2" borderId="14" xfId="85" applyFont="1" applyFill="1" applyBorder="1" applyAlignment="1">
      <alignment horizontal="center" vertical="center" shrinkToFit="1"/>
    </xf>
    <xf numFmtId="43" fontId="11" fillId="2" borderId="68" xfId="85" applyNumberFormat="1" applyFont="1" applyFill="1" applyBorder="1" applyAlignment="1">
      <alignment horizontal="center" vertical="center" wrapText="1"/>
    </xf>
    <xf numFmtId="43" fontId="11" fillId="2" borderId="31" xfId="85" applyNumberFormat="1" applyFont="1" applyFill="1" applyBorder="1" applyAlignment="1">
      <alignment horizontal="center" vertical="center" wrapText="1"/>
    </xf>
    <xf numFmtId="43" fontId="11" fillId="2" borderId="31" xfId="85" applyNumberFormat="1" applyFont="1" applyFill="1" applyBorder="1" applyAlignment="1">
      <alignment horizontal="center" vertical="center"/>
    </xf>
    <xf numFmtId="0" fontId="11" fillId="2" borderId="54" xfId="85" applyFont="1" applyFill="1" applyBorder="1" applyAlignment="1">
      <alignment horizontal="center" vertical="center"/>
    </xf>
    <xf numFmtId="43" fontId="11" fillId="2" borderId="69" xfId="85" applyNumberFormat="1" applyFont="1" applyFill="1" applyBorder="1" applyAlignment="1">
      <alignment horizontal="center" vertical="center" wrapText="1"/>
    </xf>
    <xf numFmtId="43" fontId="11" fillId="2" borderId="70" xfId="85" applyNumberFormat="1" applyFont="1" applyFill="1" applyBorder="1" applyAlignment="1">
      <alignment horizontal="center" vertical="center" wrapText="1"/>
    </xf>
    <xf numFmtId="43" fontId="11" fillId="2" borderId="70" xfId="85" applyNumberFormat="1" applyFont="1" applyFill="1" applyBorder="1" applyAlignment="1">
      <alignment horizontal="center" vertical="center"/>
    </xf>
    <xf numFmtId="0" fontId="11" fillId="2" borderId="25" xfId="85" applyFont="1" applyFill="1" applyBorder="1" applyAlignment="1">
      <alignment horizontal="center" vertical="center"/>
    </xf>
    <xf numFmtId="0" fontId="11" fillId="2" borderId="42" xfId="85" applyFont="1" applyFill="1" applyBorder="1" applyAlignment="1">
      <alignment horizontal="center" vertical="center" shrinkToFit="1"/>
    </xf>
    <xf numFmtId="43" fontId="11" fillId="2" borderId="47" xfId="85" applyNumberFormat="1" applyFont="1" applyFill="1" applyBorder="1" applyAlignment="1">
      <alignment horizontal="center" vertical="center"/>
    </xf>
    <xf numFmtId="190" fontId="1" fillId="0" borderId="1" xfId="85" applyNumberFormat="1" applyBorder="1" applyAlignment="1">
      <alignment horizontal="center"/>
    </xf>
    <xf numFmtId="0" fontId="1" fillId="0" borderId="1" xfId="85" applyBorder="1" applyAlignment="1">
      <alignment shrinkToFit="1"/>
    </xf>
    <xf numFmtId="43" fontId="11" fillId="0" borderId="1" xfId="85" applyNumberFormat="1" applyFont="1" applyBorder="1"/>
    <xf numFmtId="0" fontId="11" fillId="0" borderId="59" xfId="85" applyFont="1" applyBorder="1" applyAlignment="1">
      <alignment horizontal="center"/>
    </xf>
    <xf numFmtId="43" fontId="11" fillId="0" borderId="0" xfId="85" applyNumberFormat="1" applyFont="1" applyAlignment="1">
      <alignment vertical="center"/>
    </xf>
    <xf numFmtId="43" fontId="11" fillId="0" borderId="0" xfId="85" applyNumberFormat="1" applyFont="1" applyAlignment="1">
      <alignment horizontal="center"/>
    </xf>
    <xf numFmtId="181" fontId="11" fillId="2" borderId="31" xfId="85" applyNumberFormat="1" applyFont="1" applyFill="1" applyBorder="1" applyAlignment="1">
      <alignment horizontal="center" vertical="center"/>
    </xf>
    <xf numFmtId="0" fontId="11" fillId="2" borderId="63" xfId="85" applyFont="1" applyFill="1" applyBorder="1" applyAlignment="1">
      <alignment horizontal="center" vertical="center" shrinkToFit="1"/>
    </xf>
    <xf numFmtId="0" fontId="11" fillId="2" borderId="6" xfId="85" applyFont="1" applyFill="1" applyBorder="1" applyAlignment="1">
      <alignment horizontal="center" vertical="center" wrapText="1" shrinkToFit="1"/>
    </xf>
    <xf numFmtId="181" fontId="11" fillId="2" borderId="70" xfId="85" applyNumberFormat="1" applyFont="1" applyFill="1" applyBorder="1" applyAlignment="1">
      <alignment horizontal="center" vertical="center"/>
    </xf>
    <xf numFmtId="0" fontId="11" fillId="2" borderId="13" xfId="85" applyFont="1" applyFill="1" applyBorder="1" applyAlignment="1">
      <alignment horizontal="center" vertical="center" shrinkToFit="1"/>
    </xf>
    <xf numFmtId="0" fontId="11" fillId="2" borderId="71" xfId="85" applyFont="1" applyFill="1" applyBorder="1" applyAlignment="1">
      <alignment horizontal="center" vertical="center" shrinkToFit="1"/>
    </xf>
    <xf numFmtId="181" fontId="11" fillId="2" borderId="33" xfId="85" applyNumberFormat="1" applyFont="1" applyFill="1" applyBorder="1" applyAlignment="1">
      <alignment horizontal="center" vertical="center"/>
    </xf>
    <xf numFmtId="43" fontId="11" fillId="2" borderId="33" xfId="85" applyNumberFormat="1" applyFont="1" applyFill="1" applyBorder="1" applyAlignment="1">
      <alignment horizontal="center" vertical="center" wrapText="1"/>
    </xf>
    <xf numFmtId="0" fontId="11" fillId="2" borderId="22" xfId="85" applyFont="1" applyFill="1" applyBorder="1" applyAlignment="1">
      <alignment horizontal="center" vertical="center" shrinkToFit="1"/>
    </xf>
    <xf numFmtId="43" fontId="1" fillId="0" borderId="1" xfId="85" applyNumberFormat="1" applyBorder="1" applyAlignment="1">
      <alignment horizontal="center"/>
    </xf>
    <xf numFmtId="0" fontId="2" fillId="0" borderId="1" xfId="85" applyFont="1" applyBorder="1" applyAlignment="1">
      <alignment horizontal="center" shrinkToFit="1"/>
    </xf>
    <xf numFmtId="0" fontId="1" fillId="0" borderId="59" xfId="85" applyBorder="1" applyAlignment="1">
      <alignment horizontal="center" shrinkToFit="1"/>
    </xf>
    <xf numFmtId="49" fontId="1" fillId="0" borderId="1" xfId="85" applyNumberFormat="1" applyBorder="1" applyAlignment="1">
      <alignment horizontal="center"/>
    </xf>
    <xf numFmtId="0" fontId="1" fillId="0" borderId="1" xfId="85" applyBorder="1" applyAlignment="1">
      <alignment horizontal="center" shrinkToFit="1"/>
    </xf>
    <xf numFmtId="180" fontId="10" fillId="0" borderId="0" xfId="85" applyNumberFormat="1" applyFont="1" applyAlignment="1">
      <alignment horizontal="center" vertical="center"/>
    </xf>
    <xf numFmtId="183" fontId="10" fillId="0" borderId="0" xfId="85" applyNumberFormat="1" applyFont="1" applyAlignment="1">
      <alignment horizontal="center" vertical="center"/>
    </xf>
    <xf numFmtId="183" fontId="10" fillId="0" borderId="0" xfId="85" applyNumberFormat="1" applyFont="1" applyAlignment="1">
      <alignment vertical="center"/>
    </xf>
    <xf numFmtId="190" fontId="10" fillId="0" borderId="0" xfId="85" applyNumberFormat="1" applyFont="1" applyAlignment="1">
      <alignment horizontal="center" vertical="center"/>
    </xf>
    <xf numFmtId="0" fontId="5" fillId="2" borderId="14" xfId="85" applyFont="1" applyFill="1" applyBorder="1" applyAlignment="1">
      <alignment horizontal="center" vertical="center" wrapText="1"/>
    </xf>
    <xf numFmtId="183" fontId="5" fillId="2" borderId="53" xfId="85" applyNumberFormat="1" applyFont="1" applyFill="1" applyBorder="1" applyAlignment="1">
      <alignment horizontal="center" vertical="center" wrapText="1"/>
    </xf>
    <xf numFmtId="0" fontId="5" fillId="5" borderId="7" xfId="87" applyFont="1" applyFill="1" applyBorder="1" applyAlignment="1">
      <alignment horizontal="center" vertical="center" wrapText="1"/>
    </xf>
    <xf numFmtId="0" fontId="5" fillId="5" borderId="60" xfId="87" applyFont="1" applyFill="1" applyBorder="1" applyAlignment="1">
      <alignment horizontal="center" vertical="center" wrapText="1"/>
    </xf>
    <xf numFmtId="0" fontId="5" fillId="2" borderId="17" xfId="85" applyFont="1" applyFill="1" applyBorder="1" applyAlignment="1">
      <alignment horizontal="center" vertical="center" wrapText="1"/>
    </xf>
    <xf numFmtId="183" fontId="5" fillId="2" borderId="1" xfId="85" applyNumberFormat="1" applyFont="1" applyFill="1" applyBorder="1" applyAlignment="1">
      <alignment horizontal="center" vertical="center" wrapText="1"/>
    </xf>
    <xf numFmtId="0" fontId="5" fillId="5" borderId="11" xfId="87" applyFont="1" applyFill="1" applyBorder="1" applyAlignment="1">
      <alignment horizontal="center" vertical="center" wrapText="1"/>
    </xf>
    <xf numFmtId="0" fontId="5" fillId="2" borderId="23" xfId="85" applyFont="1" applyFill="1" applyBorder="1" applyAlignment="1">
      <alignment horizontal="center" vertical="center" wrapText="1"/>
    </xf>
    <xf numFmtId="183" fontId="5" fillId="2" borderId="51" xfId="85" applyNumberFormat="1" applyFont="1" applyFill="1" applyBorder="1" applyAlignment="1">
      <alignment horizontal="center" vertical="center" wrapText="1"/>
    </xf>
    <xf numFmtId="183" fontId="5" fillId="5" borderId="37" xfId="85" applyNumberFormat="1" applyFont="1" applyFill="1" applyBorder="1" applyAlignment="1">
      <alignment horizontal="center" vertical="center" wrapText="1"/>
    </xf>
    <xf numFmtId="0" fontId="5" fillId="5" borderId="8" xfId="87" applyFont="1" applyFill="1" applyBorder="1" applyAlignment="1">
      <alignment horizontal="center" vertical="center" wrapText="1"/>
    </xf>
    <xf numFmtId="190" fontId="5" fillId="5" borderId="29" xfId="87" applyNumberFormat="1" applyFont="1" applyFill="1" applyBorder="1" applyAlignment="1">
      <alignment horizontal="center" vertical="center" wrapText="1"/>
    </xf>
    <xf numFmtId="0" fontId="1" fillId="0" borderId="1" xfId="85" applyBorder="1" applyAlignment="1">
      <alignment horizontal="center"/>
    </xf>
    <xf numFmtId="16" fontId="1" fillId="0" borderId="1" xfId="85" applyNumberFormat="1" applyBorder="1" applyAlignment="1">
      <alignment horizontal="center" vertical="center"/>
    </xf>
    <xf numFmtId="0" fontId="1" fillId="0" borderId="1" xfId="85" applyBorder="1"/>
    <xf numFmtId="16" fontId="1" fillId="5" borderId="1" xfId="85" applyNumberFormat="1" applyFill="1" applyBorder="1" applyAlignment="1">
      <alignment vertical="center"/>
    </xf>
    <xf numFmtId="16" fontId="1" fillId="5" borderId="1" xfId="85" applyNumberFormat="1" applyFill="1" applyBorder="1" applyAlignment="1">
      <alignment horizontal="center" vertical="center"/>
    </xf>
    <xf numFmtId="190" fontId="1" fillId="5" borderId="1" xfId="85" applyNumberFormat="1" applyFill="1" applyBorder="1" applyAlignment="1">
      <alignment horizontal="center" vertical="center"/>
    </xf>
    <xf numFmtId="183" fontId="1" fillId="5" borderId="1" xfId="85" applyNumberFormat="1" applyFill="1" applyBorder="1" applyAlignment="1">
      <alignment vertical="center"/>
    </xf>
    <xf numFmtId="0" fontId="1" fillId="8" borderId="1" xfId="85" applyFill="1" applyBorder="1" applyAlignment="1">
      <alignment horizontal="center"/>
    </xf>
    <xf numFmtId="184" fontId="1" fillId="5" borderId="1" xfId="85" applyNumberFormat="1" applyFill="1" applyBorder="1" applyAlignment="1">
      <alignment vertical="center"/>
    </xf>
    <xf numFmtId="184" fontId="1" fillId="5" borderId="1" xfId="85" applyNumberFormat="1" applyFill="1" applyBorder="1" applyAlignment="1">
      <alignment horizontal="right" vertical="center"/>
    </xf>
    <xf numFmtId="183" fontId="1" fillId="0" borderId="1" xfId="85" applyNumberFormat="1" applyBorder="1" applyAlignment="1">
      <alignment horizontal="center" vertical="center"/>
    </xf>
    <xf numFmtId="183" fontId="1" fillId="5" borderId="1" xfId="85" applyNumberFormat="1" applyFill="1" applyBorder="1" applyAlignment="1">
      <alignment horizontal="right" vertical="center"/>
    </xf>
    <xf numFmtId="0" fontId="1" fillId="0" borderId="17" xfId="85" applyBorder="1" applyAlignment="1">
      <alignment horizontal="center"/>
    </xf>
    <xf numFmtId="183" fontId="1" fillId="5" borderId="1" xfId="85" applyNumberFormat="1" applyFill="1" applyBorder="1" applyAlignment="1">
      <alignment horizontal="center" vertical="center"/>
    </xf>
    <xf numFmtId="183" fontId="3" fillId="0" borderId="0" xfId="85" applyNumberFormat="1" applyFont="1" applyAlignment="1">
      <alignment horizontal="left" vertical="center"/>
    </xf>
    <xf numFmtId="0" fontId="5" fillId="5" borderId="30" xfId="87" applyFont="1" applyFill="1" applyBorder="1" applyAlignment="1">
      <alignment horizontal="center" vertical="center" wrapText="1"/>
    </xf>
    <xf numFmtId="0" fontId="6" fillId="5" borderId="29" xfId="87" applyFont="1" applyFill="1" applyBorder="1" applyAlignment="1">
      <alignment horizontal="center" vertical="center" wrapText="1"/>
    </xf>
    <xf numFmtId="0" fontId="1" fillId="5" borderId="20" xfId="85" applyFill="1" applyBorder="1" applyAlignment="1">
      <alignment vertical="center"/>
    </xf>
    <xf numFmtId="0" fontId="15" fillId="0" borderId="0" xfId="88" applyFont="1" applyAlignment="1">
      <alignment horizontal="center" vertical="center"/>
    </xf>
    <xf numFmtId="0" fontId="1" fillId="0" borderId="0" xfId="88" applyFont="1">
      <alignment vertical="center"/>
    </xf>
    <xf numFmtId="0" fontId="16" fillId="0" borderId="0" xfId="88" applyFont="1">
      <alignment vertical="center"/>
    </xf>
    <xf numFmtId="0" fontId="15" fillId="0" borderId="0" xfId="88" applyFont="1">
      <alignment vertical="center"/>
    </xf>
    <xf numFmtId="0" fontId="15" fillId="0" borderId="52" xfId="88" applyFont="1" applyBorder="1" applyAlignment="1">
      <alignment horizontal="center" vertical="center"/>
    </xf>
    <xf numFmtId="0" fontId="15" fillId="0" borderId="53" xfId="88" applyFont="1" applyBorder="1" applyAlignment="1">
      <alignment horizontal="center" vertical="center"/>
    </xf>
    <xf numFmtId="0" fontId="15" fillId="0" borderId="53" xfId="88" applyFont="1" applyBorder="1" applyAlignment="1">
      <alignment horizontal="center" vertical="center" wrapText="1"/>
    </xf>
    <xf numFmtId="0" fontId="15" fillId="0" borderId="40" xfId="88" applyFont="1" applyBorder="1" applyAlignment="1">
      <alignment horizontal="center" vertical="center"/>
    </xf>
    <xf numFmtId="0" fontId="15" fillId="0" borderId="1" xfId="88" applyFont="1" applyBorder="1" applyAlignment="1">
      <alignment horizontal="center" vertical="center"/>
    </xf>
    <xf numFmtId="0" fontId="15" fillId="0" borderId="1" xfId="88" applyFont="1" applyBorder="1" applyAlignment="1">
      <alignment horizontal="center" vertical="center" wrapText="1"/>
    </xf>
    <xf numFmtId="0" fontId="1" fillId="0" borderId="54" xfId="88" applyFont="1" applyBorder="1" applyAlignment="1">
      <alignment horizontal="center" vertical="center"/>
    </xf>
    <xf numFmtId="0" fontId="1" fillId="0" borderId="55" xfId="88" applyFont="1" applyBorder="1" applyAlignment="1">
      <alignment horizontal="center" vertical="center"/>
    </xf>
    <xf numFmtId="0" fontId="1" fillId="0" borderId="15" xfId="88" applyFont="1" applyBorder="1" applyAlignment="1">
      <alignment horizontal="center" vertical="center"/>
    </xf>
    <xf numFmtId="0" fontId="1" fillId="0" borderId="1" xfId="88" applyFont="1" applyBorder="1" applyAlignment="1">
      <alignment horizontal="center" vertical="center"/>
    </xf>
    <xf numFmtId="0" fontId="1" fillId="0" borderId="65" xfId="88" applyFont="1" applyBorder="1" applyAlignment="1">
      <alignment horizontal="center" vertical="center"/>
    </xf>
    <xf numFmtId="0" fontId="1" fillId="0" borderId="0" xfId="88" applyFont="1" applyAlignment="1">
      <alignment horizontal="center" vertical="center"/>
    </xf>
    <xf numFmtId="191" fontId="1" fillId="0" borderId="54" xfId="88" applyNumberFormat="1" applyFont="1" applyBorder="1" applyAlignment="1">
      <alignment horizontal="center" vertical="center"/>
    </xf>
    <xf numFmtId="191" fontId="1" fillId="0" borderId="55" xfId="88" applyNumberFormat="1" applyFont="1" applyBorder="1" applyAlignment="1">
      <alignment horizontal="center" vertical="center"/>
    </xf>
    <xf numFmtId="191" fontId="1" fillId="0" borderId="15" xfId="88" applyNumberFormat="1" applyFont="1" applyBorder="1" applyAlignment="1">
      <alignment horizontal="center" vertical="center"/>
    </xf>
    <xf numFmtId="191" fontId="1" fillId="0" borderId="40" xfId="88" applyNumberFormat="1" applyFont="1" applyBorder="1" applyAlignment="1">
      <alignment horizontal="center" vertical="center"/>
    </xf>
    <xf numFmtId="191" fontId="1" fillId="0" borderId="1" xfId="88" applyNumberFormat="1" applyFont="1" applyBorder="1" applyAlignment="1">
      <alignment horizontal="center" vertical="center"/>
    </xf>
    <xf numFmtId="0" fontId="1" fillId="0" borderId="40" xfId="88" applyFont="1" applyBorder="1" applyAlignment="1">
      <alignment horizontal="center" vertical="center"/>
    </xf>
    <xf numFmtId="0" fontId="15" fillId="0" borderId="54" xfId="88" applyFont="1" applyBorder="1" applyAlignment="1">
      <alignment horizontal="left" vertical="center"/>
    </xf>
    <xf numFmtId="0" fontId="15" fillId="0" borderId="55" xfId="88" applyFont="1" applyBorder="1" applyAlignment="1">
      <alignment horizontal="left" vertical="center"/>
    </xf>
    <xf numFmtId="0" fontId="15" fillId="0" borderId="15" xfId="88" applyFont="1" applyBorder="1" applyAlignment="1">
      <alignment horizontal="left" vertical="center"/>
    </xf>
    <xf numFmtId="0" fontId="16" fillId="0" borderId="21" xfId="88" applyFont="1" applyBorder="1" applyAlignment="1">
      <alignment horizontal="center" vertical="center"/>
    </xf>
    <xf numFmtId="0" fontId="16" fillId="0" borderId="51" xfId="88" applyFont="1" applyBorder="1" applyAlignment="1">
      <alignment horizontal="center" vertical="center"/>
    </xf>
    <xf numFmtId="0" fontId="15" fillId="0" borderId="56" xfId="88" applyFont="1" applyBorder="1" applyAlignment="1">
      <alignment horizontal="left" vertical="center"/>
    </xf>
    <xf numFmtId="0" fontId="15" fillId="0" borderId="57" xfId="88" applyFont="1" applyBorder="1" applyAlignment="1">
      <alignment horizontal="left" vertical="center"/>
    </xf>
    <xf numFmtId="0" fontId="15" fillId="0" borderId="58" xfId="88" applyFont="1" applyBorder="1" applyAlignment="1">
      <alignment horizontal="left" vertical="center"/>
    </xf>
    <xf numFmtId="0" fontId="15" fillId="0" borderId="13" xfId="88" applyFont="1" applyBorder="1" applyAlignment="1">
      <alignment horizontal="center" vertical="center"/>
    </xf>
    <xf numFmtId="16" fontId="1" fillId="0" borderId="1" xfId="88" applyNumberFormat="1" applyFont="1" applyBorder="1" applyAlignment="1">
      <alignment horizontal="center" vertical="center"/>
    </xf>
    <xf numFmtId="0" fontId="1" fillId="0" borderId="13" xfId="88" applyFont="1" applyBorder="1" applyAlignment="1">
      <alignment horizontal="center" vertical="center"/>
    </xf>
    <xf numFmtId="0" fontId="16" fillId="0" borderId="22" xfId="88" applyFont="1" applyBorder="1" applyAlignment="1">
      <alignment horizontal="center" vertical="center"/>
    </xf>
    <xf numFmtId="16" fontId="3" fillId="5" borderId="34" xfId="140" applyNumberFormat="1" applyFont="1" applyFill="1" applyBorder="1" applyAlignment="1" quotePrefix="1">
      <alignment horizontal="center" vertical="center"/>
    </xf>
    <xf numFmtId="16" fontId="3" fillId="5" borderId="1" xfId="140" applyNumberFormat="1" applyFont="1" applyFill="1" applyBorder="1" applyAlignment="1" quotePrefix="1">
      <alignment horizontal="center" vertical="center"/>
    </xf>
    <xf numFmtId="0" fontId="3" fillId="5" borderId="1" xfId="140" applyFont="1" applyFill="1" applyBorder="1" applyAlignment="1" quotePrefix="1">
      <alignment horizontal="center" vertical="center"/>
    </xf>
    <xf numFmtId="0" fontId="3" fillId="5" borderId="47" xfId="141" applyFont="1" applyFill="1" applyBorder="1" applyAlignment="1" quotePrefix="1">
      <alignment horizontal="center" vertical="center"/>
    </xf>
    <xf numFmtId="0" fontId="14" fillId="5" borderId="47" xfId="141" applyFont="1" applyFill="1" applyBorder="1" applyAlignment="1" quotePrefix="1">
      <alignment horizontal="center" vertical="center"/>
    </xf>
    <xf numFmtId="0" fontId="3" fillId="4" borderId="1" xfId="84" applyFont="1" applyFill="1" applyBorder="1" applyAlignment="1" quotePrefix="1">
      <alignment horizontal="center" wrapText="1"/>
    </xf>
  </cellXfs>
  <cellStyles count="1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2 2" xfId="51"/>
    <cellStyle name="Normal 2 2 2" xfId="52"/>
    <cellStyle name="Normal 2 2 2 2" xfId="53"/>
    <cellStyle name="Normal 2 2 2 2 2" xfId="54"/>
    <cellStyle name="Normal 2 2 2 2 2 2" xfId="55"/>
    <cellStyle name="Normal 2 2 2 2 3" xfId="56"/>
    <cellStyle name="Normal 2 2 2 3" xfId="57"/>
    <cellStyle name="Normal 2 2 2 3 2" xfId="58"/>
    <cellStyle name="Normal 2 2 2 4" xfId="59"/>
    <cellStyle name="Normal 2 2 3" xfId="60"/>
    <cellStyle name="Normal 2 2 3 2" xfId="61"/>
    <cellStyle name="Normal 2 2 4" xfId="62"/>
    <cellStyle name="Normal 2 3" xfId="63"/>
    <cellStyle name="Normal 2 3 2" xfId="64"/>
    <cellStyle name="Normal 2 3 2 2" xfId="65"/>
    <cellStyle name="Normal 2 3 2 2 2" xfId="66"/>
    <cellStyle name="Normal 2 3 2 3" xfId="67"/>
    <cellStyle name="Normal 2 3 3" xfId="68"/>
    <cellStyle name="Normal 2 3 3 2" xfId="69"/>
    <cellStyle name="Normal 2 3 4" xfId="70"/>
    <cellStyle name="Normal 2 4" xfId="71"/>
    <cellStyle name="Normal 2 4 2" xfId="72"/>
    <cellStyle name="Normal 2 5" xfId="73"/>
    <cellStyle name="Normal 3" xfId="74"/>
    <cellStyle name="Normal 3 2" xfId="75"/>
    <cellStyle name="Normal 3 2 2" xfId="76"/>
    <cellStyle name="Normal 3 2 2 2" xfId="77"/>
    <cellStyle name="Normal 3 2 3" xfId="78"/>
    <cellStyle name="Normal 3 3" xfId="79"/>
    <cellStyle name="Normal 3 3 2" xfId="80"/>
    <cellStyle name="Normal 3 4" xfId="81"/>
    <cellStyle name="Normal 4" xfId="82"/>
    <cellStyle name="Normal_Blank-MCO" xfId="83"/>
    <cellStyle name="Normal_Blank-行李票" xfId="84"/>
    <cellStyle name="Normal_Downtown Sales Report - MASTER" xfId="85"/>
    <cellStyle name="Normal_Downtown Sales Report - MASTER 2" xfId="86"/>
    <cellStyle name="Normal_Downtown Sales Report -APR" xfId="87"/>
    <cellStyle name="Normal_销售日报格式" xfId="88"/>
    <cellStyle name="Normal_销售日报格式 2 2" xfId="89"/>
    <cellStyle name="一般 2" xfId="90"/>
    <cellStyle name="一般 2 2" xfId="91"/>
    <cellStyle name="一般 2 2 2" xfId="92"/>
    <cellStyle name="一般 2 2 2 2" xfId="93"/>
    <cellStyle name="一般 2 2 3" xfId="94"/>
    <cellStyle name="一般 2 3" xfId="95"/>
    <cellStyle name="一般 2 3 2" xfId="96"/>
    <cellStyle name="一般 2 4" xfId="97"/>
    <cellStyle name="千位分隔 2" xfId="98"/>
    <cellStyle name="千位分隔 2 2" xfId="99"/>
    <cellStyle name="千位分隔 2 2 2" xfId="100"/>
    <cellStyle name="千位分隔 2 3" xfId="101"/>
    <cellStyle name="千位分隔 3" xfId="102"/>
    <cellStyle name="千位分隔 3 2" xfId="103"/>
    <cellStyle name="千位分隔 3 2 2" xfId="104"/>
    <cellStyle name="千位分隔 3 2 2 2" xfId="105"/>
    <cellStyle name="千位分隔 3 2 3" xfId="106"/>
    <cellStyle name="千位分隔 3 3" xfId="107"/>
    <cellStyle name="千位分隔 3 3 2" xfId="108"/>
    <cellStyle name="千位分隔 3 4" xfId="109"/>
    <cellStyle name="千位分隔 4" xfId="110"/>
    <cellStyle name="千位分隔 4 2" xfId="111"/>
    <cellStyle name="千位分隔[0] 2" xfId="112"/>
    <cellStyle name="千位分隔[0] 2 2" xfId="113"/>
    <cellStyle name="千位分隔[0] 2 2 2" xfId="114"/>
    <cellStyle name="千位分隔[0] 2 3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4" xfId="124"/>
    <cellStyle name="常规 2 3" xfId="125"/>
    <cellStyle name="常规 2 3 2" xfId="126"/>
    <cellStyle name="常规 2 3 2 2" xfId="127"/>
    <cellStyle name="常规 2 3 2 2 2" xfId="128"/>
    <cellStyle name="常规 2 3 2 3" xfId="129"/>
    <cellStyle name="常规 2 3 3" xfId="130"/>
    <cellStyle name="常规 2 3 3 2" xfId="131"/>
    <cellStyle name="常规 2 3 4" xfId="132"/>
    <cellStyle name="常规 2 4" xfId="133"/>
    <cellStyle name="常规 2 4 2" xfId="134"/>
    <cellStyle name="常规 2 4 2 2" xfId="135"/>
    <cellStyle name="常规 2 4 3" xfId="136"/>
    <cellStyle name="常规 2 5" xfId="137"/>
    <cellStyle name="常规 2 5 2" xfId="138"/>
    <cellStyle name="常规 2 6" xfId="139"/>
    <cellStyle name="常规 3" xfId="140"/>
    <cellStyle name="常规 3 2" xfId="141"/>
    <cellStyle name="常规 3 2 2" xfId="142"/>
    <cellStyle name="常规 3 2 2 2" xfId="143"/>
    <cellStyle name="常规 3 2 2 2 2" xfId="144"/>
    <cellStyle name="常规 3 2 2 3" xfId="145"/>
    <cellStyle name="常规 3 2 3" xfId="146"/>
    <cellStyle name="常规 3 3" xfId="147"/>
    <cellStyle name="常规 3 3 2" xfId="148"/>
    <cellStyle name="常规 3 4" xfId="149"/>
    <cellStyle name="常规 3_YVR sales report -  2015-06 June" xfId="150"/>
    <cellStyle name="常规 4" xfId="151"/>
    <cellStyle name="常规 4 2" xfId="152"/>
    <cellStyle name="常规 4 2 2" xfId="153"/>
    <cellStyle name="常规 4 3" xfId="154"/>
    <cellStyle name="常规 5" xfId="155"/>
    <cellStyle name="常规 5 2" xfId="1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indexed="52"/>
  </sheetPr>
  <dimension ref="A1:P28"/>
  <sheetViews>
    <sheetView workbookViewId="0">
      <selection activeCell="M15" sqref="M15:P15"/>
    </sheetView>
  </sheetViews>
  <sheetFormatPr defaultColWidth="9" defaultRowHeight="15.6"/>
  <cols>
    <col min="1" max="1" width="16" style="506" customWidth="1"/>
    <col min="2" max="2" width="6.4" style="506" customWidth="1"/>
    <col min="3" max="3" width="10.5" style="506" customWidth="1"/>
    <col min="4" max="4" width="2.2" style="506" customWidth="1"/>
    <col min="5" max="5" width="6.4" style="506" customWidth="1"/>
    <col min="6" max="7" width="5.9" style="506" customWidth="1"/>
    <col min="8" max="8" width="8.4" style="506" customWidth="1"/>
    <col min="9" max="9" width="6.1" style="506" customWidth="1"/>
    <col min="10" max="11" width="6.7" style="506" customWidth="1"/>
    <col min="12" max="12" width="6.5" style="506" customWidth="1"/>
    <col min="13" max="13" width="9.5" style="506" customWidth="1"/>
    <col min="14" max="14" width="6.2" style="506" customWidth="1"/>
    <col min="15" max="15" width="6.1" style="506" customWidth="1"/>
    <col min="16" max="16" width="21.2" style="506" customWidth="1"/>
    <col min="17" max="16384" width="9" style="506"/>
  </cols>
  <sheetData>
    <row r="1" ht="24" customHeight="1" spans="1:16">
      <c r="A1" s="507" t="s">
        <v>0</v>
      </c>
      <c r="B1" s="508"/>
      <c r="C1" s="508"/>
      <c r="D1" s="508"/>
      <c r="E1" s="509" t="s">
        <v>1</v>
      </c>
      <c r="F1" s="509"/>
      <c r="G1" s="509"/>
      <c r="H1" s="509"/>
      <c r="I1" s="201" t="s">
        <v>2</v>
      </c>
      <c r="J1" s="201"/>
      <c r="K1" s="201"/>
      <c r="L1" s="201"/>
      <c r="M1" s="530" t="s">
        <v>3</v>
      </c>
      <c r="N1" s="531"/>
      <c r="O1" s="531"/>
      <c r="P1" s="532"/>
    </row>
    <row r="2" ht="22.5" customHeight="1" spans="1:16">
      <c r="A2" s="510"/>
      <c r="B2" s="511"/>
      <c r="C2" s="511"/>
      <c r="D2" s="511"/>
      <c r="E2" s="512"/>
      <c r="F2" s="512"/>
      <c r="G2" s="512"/>
      <c r="H2" s="512"/>
      <c r="I2" s="205"/>
      <c r="J2" s="205"/>
      <c r="K2" s="205"/>
      <c r="L2" s="205"/>
      <c r="M2" s="206" t="s">
        <v>4</v>
      </c>
      <c r="N2" s="206"/>
      <c r="O2" s="206"/>
      <c r="P2" s="207"/>
    </row>
    <row r="3" ht="16.5" customHeight="1" spans="1:16">
      <c r="A3" s="510" t="s">
        <v>5</v>
      </c>
      <c r="B3" s="511"/>
      <c r="C3" s="511"/>
      <c r="D3" s="511"/>
      <c r="E3" s="511"/>
      <c r="F3" s="511"/>
      <c r="G3" s="511"/>
      <c r="H3" s="512" t="s">
        <v>6</v>
      </c>
      <c r="I3" s="512"/>
      <c r="J3" s="512"/>
      <c r="K3" s="512"/>
      <c r="L3" s="512"/>
      <c r="M3" s="511"/>
      <c r="N3" s="511"/>
      <c r="O3" s="511"/>
      <c r="P3" s="533"/>
    </row>
    <row r="4" spans="1:16">
      <c r="A4" s="510" t="s">
        <v>7</v>
      </c>
      <c r="B4" s="511"/>
      <c r="C4" s="511"/>
      <c r="D4" s="511"/>
      <c r="E4" s="511"/>
      <c r="F4" s="511"/>
      <c r="G4" s="511"/>
      <c r="H4" s="511" t="s">
        <v>8</v>
      </c>
      <c r="I4" s="511"/>
      <c r="J4" s="511"/>
      <c r="K4" s="511"/>
      <c r="L4" s="511"/>
      <c r="M4" s="511" t="s">
        <v>9</v>
      </c>
      <c r="N4" s="511"/>
      <c r="O4" s="511"/>
      <c r="P4" s="533"/>
    </row>
    <row r="5" s="503" customFormat="1" spans="1:16">
      <c r="A5" s="510"/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33"/>
    </row>
    <row r="6" s="504" customFormat="1" ht="15.9" customHeight="1" spans="1:16">
      <c r="A6" s="513"/>
      <c r="B6" s="514"/>
      <c r="C6" s="514"/>
      <c r="D6" s="514"/>
      <c r="E6" s="514"/>
      <c r="F6" s="514"/>
      <c r="G6" s="515"/>
      <c r="H6" s="516"/>
      <c r="I6" s="516"/>
      <c r="J6" s="516"/>
      <c r="K6" s="516"/>
      <c r="L6" s="516"/>
      <c r="M6" s="534"/>
      <c r="N6" s="516"/>
      <c r="O6" s="516"/>
      <c r="P6" s="535"/>
    </row>
    <row r="7" s="504" customFormat="1" ht="15.9" customHeight="1" spans="1:16">
      <c r="A7" s="513"/>
      <c r="B7" s="514"/>
      <c r="C7" s="514"/>
      <c r="D7" s="514"/>
      <c r="E7" s="514"/>
      <c r="F7" s="514"/>
      <c r="G7" s="515"/>
      <c r="H7" s="516"/>
      <c r="I7" s="516"/>
      <c r="J7" s="516"/>
      <c r="K7" s="516"/>
      <c r="L7" s="516"/>
      <c r="M7" s="516"/>
      <c r="N7" s="516"/>
      <c r="O7" s="516"/>
      <c r="P7" s="535"/>
    </row>
    <row r="8" s="504" customFormat="1" ht="15.9" customHeight="1" spans="1:16">
      <c r="A8" s="513"/>
      <c r="B8" s="514"/>
      <c r="C8" s="514"/>
      <c r="D8" s="514"/>
      <c r="E8" s="514"/>
      <c r="F8" s="514"/>
      <c r="G8" s="515"/>
      <c r="H8" s="516"/>
      <c r="I8" s="516"/>
      <c r="J8" s="516"/>
      <c r="K8" s="516"/>
      <c r="L8" s="516"/>
      <c r="M8" s="516"/>
      <c r="N8" s="516"/>
      <c r="O8" s="516"/>
      <c r="P8" s="535"/>
    </row>
    <row r="9" s="504" customFormat="1" ht="15.9" customHeight="1" spans="1:16">
      <c r="A9" s="513"/>
      <c r="B9" s="514"/>
      <c r="C9" s="514"/>
      <c r="D9" s="514"/>
      <c r="E9" s="514"/>
      <c r="F9" s="514"/>
      <c r="G9" s="515"/>
      <c r="H9" s="516"/>
      <c r="I9" s="516"/>
      <c r="J9" s="516"/>
      <c r="K9" s="516"/>
      <c r="L9" s="516"/>
      <c r="M9" s="516"/>
      <c r="N9" s="516"/>
      <c r="O9" s="516"/>
      <c r="P9" s="535"/>
    </row>
    <row r="10" s="504" customFormat="1" ht="15.9" customHeight="1" spans="1:16">
      <c r="A10" s="513"/>
      <c r="B10" s="514"/>
      <c r="C10" s="514"/>
      <c r="D10" s="514"/>
      <c r="E10" s="514"/>
      <c r="F10" s="514"/>
      <c r="G10" s="515"/>
      <c r="H10" s="516"/>
      <c r="I10" s="516"/>
      <c r="J10" s="516"/>
      <c r="K10" s="516"/>
      <c r="L10" s="516"/>
      <c r="M10" s="516"/>
      <c r="N10" s="516"/>
      <c r="O10" s="516"/>
      <c r="P10" s="535"/>
    </row>
    <row r="11" s="504" customFormat="1" ht="15.9" customHeight="1" spans="1:16">
      <c r="A11" s="513"/>
      <c r="B11" s="514"/>
      <c r="C11" s="514"/>
      <c r="D11" s="514"/>
      <c r="E11" s="514"/>
      <c r="F11" s="514"/>
      <c r="G11" s="515"/>
      <c r="H11" s="516"/>
      <c r="I11" s="516"/>
      <c r="J11" s="516"/>
      <c r="K11" s="516"/>
      <c r="L11" s="516"/>
      <c r="M11" s="516"/>
      <c r="N11" s="516"/>
      <c r="O11" s="516"/>
      <c r="P11" s="535"/>
    </row>
    <row r="12" s="504" customFormat="1" ht="15.9" customHeight="1" spans="1:16">
      <c r="A12" s="517"/>
      <c r="B12" s="518"/>
      <c r="C12" s="518"/>
      <c r="D12" s="518"/>
      <c r="E12" s="518"/>
      <c r="F12" s="518"/>
      <c r="G12" s="518"/>
      <c r="H12" s="516"/>
      <c r="I12" s="516"/>
      <c r="J12" s="516"/>
      <c r="K12" s="516"/>
      <c r="L12" s="516"/>
      <c r="M12" s="516"/>
      <c r="N12" s="516"/>
      <c r="O12" s="516"/>
      <c r="P12" s="535"/>
    </row>
    <row r="13" s="504" customFormat="1" ht="15.9" customHeight="1" spans="1:16">
      <c r="A13" s="519"/>
      <c r="B13" s="520"/>
      <c r="C13" s="520"/>
      <c r="D13" s="520"/>
      <c r="E13" s="520"/>
      <c r="F13" s="520"/>
      <c r="G13" s="521"/>
      <c r="H13" s="516"/>
      <c r="I13" s="516"/>
      <c r="J13" s="516"/>
      <c r="K13" s="516"/>
      <c r="L13" s="516"/>
      <c r="M13" s="516"/>
      <c r="N13" s="516"/>
      <c r="O13" s="516"/>
      <c r="P13" s="535"/>
    </row>
    <row r="14" s="504" customFormat="1" ht="15.9" customHeight="1" spans="1:16">
      <c r="A14" s="519"/>
      <c r="B14" s="520"/>
      <c r="C14" s="520"/>
      <c r="D14" s="520"/>
      <c r="E14" s="520"/>
      <c r="F14" s="520"/>
      <c r="G14" s="521"/>
      <c r="H14" s="516"/>
      <c r="I14" s="516"/>
      <c r="J14" s="516"/>
      <c r="K14" s="516"/>
      <c r="L14" s="516"/>
      <c r="M14" s="516"/>
      <c r="N14" s="516"/>
      <c r="O14" s="516"/>
      <c r="P14" s="535"/>
    </row>
    <row r="15" s="504" customFormat="1" ht="15.9" customHeight="1" spans="1:16">
      <c r="A15" s="519"/>
      <c r="B15" s="520"/>
      <c r="C15" s="520"/>
      <c r="D15" s="520"/>
      <c r="E15" s="520"/>
      <c r="F15" s="520"/>
      <c r="G15" s="521"/>
      <c r="H15" s="516"/>
      <c r="I15" s="516"/>
      <c r="J15" s="516"/>
      <c r="K15" s="516"/>
      <c r="L15" s="516"/>
      <c r="M15" s="516"/>
      <c r="N15" s="516"/>
      <c r="O15" s="516"/>
      <c r="P15" s="535"/>
    </row>
    <row r="16" s="504" customFormat="1" ht="15.9" customHeight="1" spans="1:16">
      <c r="A16" s="522"/>
      <c r="B16" s="523"/>
      <c r="C16" s="523"/>
      <c r="D16" s="523"/>
      <c r="E16" s="523"/>
      <c r="F16" s="523"/>
      <c r="G16" s="523"/>
      <c r="H16" s="516"/>
      <c r="I16" s="516"/>
      <c r="J16" s="516"/>
      <c r="K16" s="516"/>
      <c r="L16" s="516"/>
      <c r="M16" s="516"/>
      <c r="N16" s="516"/>
      <c r="O16" s="516"/>
      <c r="P16" s="535"/>
    </row>
    <row r="17" s="504" customFormat="1" ht="15.9" customHeight="1" spans="1:16">
      <c r="A17" s="522"/>
      <c r="B17" s="523"/>
      <c r="C17" s="523"/>
      <c r="D17" s="523"/>
      <c r="E17" s="523"/>
      <c r="F17" s="523"/>
      <c r="G17" s="523"/>
      <c r="H17" s="516"/>
      <c r="I17" s="516"/>
      <c r="J17" s="516"/>
      <c r="K17" s="516"/>
      <c r="L17" s="516"/>
      <c r="M17" s="516"/>
      <c r="N17" s="516"/>
      <c r="O17" s="516"/>
      <c r="P17" s="535"/>
    </row>
    <row r="18" s="504" customFormat="1" ht="15.9" customHeight="1" spans="1:16">
      <c r="A18" s="524"/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35"/>
    </row>
    <row r="19" s="504" customFormat="1" ht="15.9" customHeight="1" spans="1:16">
      <c r="A19" s="524"/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35"/>
    </row>
    <row r="20" s="504" customFormat="1" ht="15.9" customHeight="1" spans="1:16">
      <c r="A20" s="524"/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 s="516"/>
      <c r="O20" s="516"/>
      <c r="P20" s="535"/>
    </row>
    <row r="21" s="504" customFormat="1" ht="15.9" customHeight="1" spans="1:16">
      <c r="A21" s="524"/>
      <c r="B21" s="516"/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6"/>
      <c r="N21" s="516"/>
      <c r="O21" s="516"/>
      <c r="P21" s="535"/>
    </row>
    <row r="22" s="504" customFormat="1" ht="15.9" customHeight="1" spans="1:16">
      <c r="A22" s="524"/>
      <c r="B22" s="516"/>
      <c r="C22" s="516"/>
      <c r="D22" s="516"/>
      <c r="E22" s="516"/>
      <c r="F22" s="516"/>
      <c r="G22" s="516"/>
      <c r="H22" s="516"/>
      <c r="I22" s="516"/>
      <c r="J22" s="516"/>
      <c r="K22" s="516"/>
      <c r="L22" s="516"/>
      <c r="M22" s="516"/>
      <c r="N22" s="516"/>
      <c r="O22" s="516"/>
      <c r="P22" s="535"/>
    </row>
    <row r="23" s="504" customFormat="1" ht="15.9" customHeight="1" spans="1:16">
      <c r="A23" s="524"/>
      <c r="B23" s="516"/>
      <c r="C23" s="516"/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35"/>
    </row>
    <row r="24" s="504" customFormat="1" ht="15.9" customHeight="1" spans="1:16">
      <c r="A24" s="524"/>
      <c r="B24" s="516"/>
      <c r="C24" s="516"/>
      <c r="D24" s="516"/>
      <c r="E24" s="516"/>
      <c r="F24" s="516"/>
      <c r="G24" s="516"/>
      <c r="H24" s="516"/>
      <c r="I24" s="516"/>
      <c r="J24" s="516"/>
      <c r="K24" s="516"/>
      <c r="L24" s="516"/>
      <c r="M24" s="516"/>
      <c r="N24" s="516"/>
      <c r="O24" s="516"/>
      <c r="P24" s="535"/>
    </row>
    <row r="25" s="504" customFormat="1" ht="15.9" customHeight="1" spans="1:16">
      <c r="A25" s="524"/>
      <c r="B25" s="516"/>
      <c r="C25" s="516"/>
      <c r="D25" s="516"/>
      <c r="E25" s="516"/>
      <c r="F25" s="516"/>
      <c r="G25" s="516"/>
      <c r="H25" s="516"/>
      <c r="I25" s="516"/>
      <c r="J25" s="516"/>
      <c r="K25" s="516"/>
      <c r="L25" s="516"/>
      <c r="M25" s="516"/>
      <c r="N25" s="516"/>
      <c r="O25" s="516"/>
      <c r="P25" s="535"/>
    </row>
    <row r="26" spans="1:16">
      <c r="A26" s="525" t="s">
        <v>10</v>
      </c>
      <c r="B26" s="526"/>
      <c r="C26" s="526"/>
      <c r="D26" s="526"/>
      <c r="E26" s="526"/>
      <c r="F26" s="526"/>
      <c r="G26" s="527"/>
      <c r="H26" s="511">
        <f>SUM(H6:L25)</f>
        <v>0</v>
      </c>
      <c r="I26" s="511"/>
      <c r="J26" s="511"/>
      <c r="K26" s="511"/>
      <c r="L26" s="511"/>
      <c r="M26" s="511"/>
      <c r="N26" s="511"/>
      <c r="O26" s="511"/>
      <c r="P26" s="533"/>
    </row>
    <row r="27" spans="1:16">
      <c r="A27" s="525" t="s">
        <v>11</v>
      </c>
      <c r="B27" s="526"/>
      <c r="C27" s="526"/>
      <c r="D27" s="526"/>
      <c r="E27" s="526"/>
      <c r="F27" s="526"/>
      <c r="G27" s="527"/>
      <c r="H27" s="511">
        <f>H26</f>
        <v>0</v>
      </c>
      <c r="I27" s="511"/>
      <c r="J27" s="511"/>
      <c r="K27" s="511"/>
      <c r="L27" s="511"/>
      <c r="M27" s="511"/>
      <c r="N27" s="511"/>
      <c r="O27" s="511"/>
      <c r="P27" s="533"/>
    </row>
    <row r="28" s="505" customFormat="1" ht="21.75" customHeight="1" spans="1:16">
      <c r="A28" s="528"/>
      <c r="B28" s="529"/>
      <c r="C28" s="529"/>
      <c r="D28" s="529"/>
      <c r="E28" s="529"/>
      <c r="F28" s="529"/>
      <c r="G28" s="529"/>
      <c r="H28" s="529" t="s">
        <v>12</v>
      </c>
      <c r="I28" s="529"/>
      <c r="J28" s="529"/>
      <c r="K28" s="529"/>
      <c r="L28" s="529"/>
      <c r="M28" s="529" t="s">
        <v>13</v>
      </c>
      <c r="N28" s="529"/>
      <c r="O28" s="529"/>
      <c r="P28" s="536"/>
    </row>
  </sheetData>
  <mergeCells count="80">
    <mergeCell ref="M1:P1"/>
    <mergeCell ref="M2:P2"/>
    <mergeCell ref="A3:G3"/>
    <mergeCell ref="H3:L3"/>
    <mergeCell ref="M3:P3"/>
    <mergeCell ref="A6:G6"/>
    <mergeCell ref="H6:L6"/>
    <mergeCell ref="M6:P6"/>
    <mergeCell ref="A7:G7"/>
    <mergeCell ref="H7:L7"/>
    <mergeCell ref="M7:P7"/>
    <mergeCell ref="A8:G8"/>
    <mergeCell ref="H8:L8"/>
    <mergeCell ref="M8:P8"/>
    <mergeCell ref="A9:G9"/>
    <mergeCell ref="H9:L9"/>
    <mergeCell ref="M9:P9"/>
    <mergeCell ref="A10:G10"/>
    <mergeCell ref="H10:L10"/>
    <mergeCell ref="M10:P10"/>
    <mergeCell ref="A11:G11"/>
    <mergeCell ref="H11:L11"/>
    <mergeCell ref="M11:P11"/>
    <mergeCell ref="A12:G12"/>
    <mergeCell ref="H12:L12"/>
    <mergeCell ref="M12:P12"/>
    <mergeCell ref="A13:G13"/>
    <mergeCell ref="H13:L13"/>
    <mergeCell ref="M13:P13"/>
    <mergeCell ref="A14:G14"/>
    <mergeCell ref="H14:L14"/>
    <mergeCell ref="M14:P14"/>
    <mergeCell ref="A15:G15"/>
    <mergeCell ref="H15:L15"/>
    <mergeCell ref="M15:P15"/>
    <mergeCell ref="A16:G16"/>
    <mergeCell ref="H16:L16"/>
    <mergeCell ref="M16:P16"/>
    <mergeCell ref="A17:G17"/>
    <mergeCell ref="H17:L17"/>
    <mergeCell ref="M17:P17"/>
    <mergeCell ref="A18:G18"/>
    <mergeCell ref="H18:L18"/>
    <mergeCell ref="M18:P18"/>
    <mergeCell ref="A19:G19"/>
    <mergeCell ref="H19:L19"/>
    <mergeCell ref="M19:P19"/>
    <mergeCell ref="A20:G20"/>
    <mergeCell ref="H20:L20"/>
    <mergeCell ref="M20:P20"/>
    <mergeCell ref="A21:G21"/>
    <mergeCell ref="H21:L21"/>
    <mergeCell ref="M21:P21"/>
    <mergeCell ref="A22:G22"/>
    <mergeCell ref="H22:L22"/>
    <mergeCell ref="M22:P22"/>
    <mergeCell ref="A23:G23"/>
    <mergeCell ref="H23:L23"/>
    <mergeCell ref="M23:P23"/>
    <mergeCell ref="A24:G24"/>
    <mergeCell ref="H24:L24"/>
    <mergeCell ref="M24:P24"/>
    <mergeCell ref="A25:G25"/>
    <mergeCell ref="H25:L25"/>
    <mergeCell ref="M25:P25"/>
    <mergeCell ref="A26:G26"/>
    <mergeCell ref="H26:L26"/>
    <mergeCell ref="M26:P26"/>
    <mergeCell ref="A27:G27"/>
    <mergeCell ref="H27:L27"/>
    <mergeCell ref="M27:P27"/>
    <mergeCell ref="A28:G28"/>
    <mergeCell ref="H28:L28"/>
    <mergeCell ref="M28:P28"/>
    <mergeCell ref="A1:D2"/>
    <mergeCell ref="E1:H2"/>
    <mergeCell ref="I1:L2"/>
    <mergeCell ref="A4:G5"/>
    <mergeCell ref="H4:L5"/>
    <mergeCell ref="M4:P5"/>
  </mergeCells>
  <printOptions horizontalCentered="1"/>
  <pageMargins left="0.551181102362205" right="0.551181102362205" top="0.78740157480315" bottom="0.590551181102362" header="0.511811023622047" footer="0.511811023622047"/>
  <pageSetup paperSize="9" scale="97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4"/>
  <sheetViews>
    <sheetView tabSelected="1" topLeftCell="B1" workbookViewId="0">
      <pane ySplit="7" topLeftCell="A8" activePane="bottomLeft" state="frozen"/>
      <selection/>
      <selection pane="bottomLeft" activeCell="O10" sqref="O10"/>
    </sheetView>
  </sheetViews>
  <sheetFormatPr defaultColWidth="10" defaultRowHeight="13.2"/>
  <cols>
    <col min="1" max="1" width="15" style="217" customWidth="1"/>
    <col min="2" max="2" width="25.6" style="428" customWidth="1"/>
    <col min="3" max="3" width="11.4" style="220" customWidth="1"/>
    <col min="4" max="4" width="9.7" style="220" customWidth="1"/>
    <col min="5" max="5" width="9.7" style="221" customWidth="1"/>
    <col min="6" max="6" width="9.6" style="221" customWidth="1"/>
    <col min="7" max="7" width="10.4" style="221" customWidth="1"/>
    <col min="8" max="8" width="11.5" style="221" customWidth="1"/>
    <col min="9" max="9" width="8.5" style="221" customWidth="1"/>
    <col min="10" max="11" width="8.1" style="221" customWidth="1"/>
    <col min="12" max="12" width="9" style="429" customWidth="1"/>
    <col min="13" max="13" width="13.1" style="221" customWidth="1"/>
    <col min="14" max="14" width="20.7" style="430" customWidth="1"/>
    <col min="15" max="15" width="29.7" style="222" customWidth="1"/>
    <col min="16" max="16" width="23.2" style="222" customWidth="1"/>
    <col min="17" max="17" width="18.6" style="217" customWidth="1"/>
    <col min="18" max="18" width="13.4" style="431" customWidth="1"/>
    <col min="19" max="19" width="10" style="432" customWidth="1"/>
    <col min="20" max="20" width="24.2" style="15" customWidth="1"/>
    <col min="21" max="21" width="12.5" style="433" customWidth="1"/>
    <col min="22" max="22" width="12.2" style="433" customWidth="1"/>
    <col min="23" max="23" width="11.4" style="434" customWidth="1"/>
    <col min="24" max="24" width="16.2" style="433" customWidth="1"/>
    <col min="25" max="25" width="21.9" style="435" customWidth="1"/>
    <col min="26" max="26" width="4.2" style="15" customWidth="1"/>
    <col min="27" max="16384" width="10" style="15"/>
  </cols>
  <sheetData>
    <row r="1" s="66" customFormat="1" ht="27.75" customHeight="1" spans="1:25">
      <c r="A1" s="223" t="s">
        <v>14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79"/>
      <c r="R1" s="469"/>
      <c r="S1" s="470"/>
      <c r="U1" s="471"/>
      <c r="V1" s="471"/>
      <c r="W1" s="472"/>
      <c r="X1" s="471"/>
      <c r="Y1" s="499"/>
    </row>
    <row r="2" ht="15.9" customHeight="1" spans="1:16">
      <c r="A2" s="224" t="s">
        <v>15</v>
      </c>
      <c r="B2" s="225" t="s">
        <v>16</v>
      </c>
      <c r="C2" s="225"/>
      <c r="D2" s="225"/>
      <c r="E2" s="225"/>
      <c r="F2" s="225"/>
      <c r="G2" s="226"/>
      <c r="H2" s="226"/>
      <c r="I2" s="226"/>
      <c r="J2" s="226"/>
      <c r="K2" s="226"/>
      <c r="L2" s="453"/>
      <c r="M2" s="226"/>
      <c r="N2" s="454"/>
      <c r="O2" s="280"/>
      <c r="P2" s="280"/>
    </row>
    <row r="3" ht="15.9" customHeight="1" spans="1:16">
      <c r="A3" s="224" t="s">
        <v>17</v>
      </c>
      <c r="B3" s="227" t="s">
        <v>18</v>
      </c>
      <c r="C3" s="227"/>
      <c r="D3" s="22"/>
      <c r="E3" s="226"/>
      <c r="F3" s="226"/>
      <c r="G3" s="226"/>
      <c r="H3" s="226"/>
      <c r="I3" s="226"/>
      <c r="J3" s="226"/>
      <c r="K3" s="226"/>
      <c r="L3" s="453"/>
      <c r="M3" s="226"/>
      <c r="N3" s="454"/>
      <c r="O3" s="280"/>
      <c r="P3" s="280"/>
    </row>
    <row r="4" ht="10.5" customHeight="1" spans="1:16">
      <c r="A4" s="224"/>
      <c r="B4" s="436"/>
      <c r="C4" s="232"/>
      <c r="D4" s="232"/>
      <c r="E4" s="226"/>
      <c r="F4" s="226"/>
      <c r="G4" s="226"/>
      <c r="H4" s="226"/>
      <c r="I4" s="226"/>
      <c r="J4" s="226"/>
      <c r="K4" s="226"/>
      <c r="L4" s="453"/>
      <c r="M4" s="226"/>
      <c r="N4" s="454"/>
      <c r="O4" s="280"/>
      <c r="P4" s="280"/>
    </row>
    <row r="5" ht="20.1" customHeight="1" spans="1:25">
      <c r="A5" s="437" t="s">
        <v>19</v>
      </c>
      <c r="B5" s="438" t="s">
        <v>20</v>
      </c>
      <c r="C5" s="439" t="s">
        <v>21</v>
      </c>
      <c r="D5" s="440" t="s">
        <v>22</v>
      </c>
      <c r="E5" s="235" t="s">
        <v>23</v>
      </c>
      <c r="F5" s="236" t="s">
        <v>24</v>
      </c>
      <c r="G5" s="441" t="s">
        <v>25</v>
      </c>
      <c r="H5" s="440" t="s">
        <v>26</v>
      </c>
      <c r="I5" s="441" t="s">
        <v>27</v>
      </c>
      <c r="J5" s="455" t="s">
        <v>28</v>
      </c>
      <c r="K5" s="455" t="s">
        <v>29</v>
      </c>
      <c r="L5" s="235" t="s">
        <v>30</v>
      </c>
      <c r="M5" s="235" t="s">
        <v>31</v>
      </c>
      <c r="N5" s="440" t="s">
        <v>32</v>
      </c>
      <c r="O5" s="456" t="s">
        <v>33</v>
      </c>
      <c r="P5" s="457" t="s">
        <v>34</v>
      </c>
      <c r="Q5" s="473" t="s">
        <v>35</v>
      </c>
      <c r="R5" s="286" t="s">
        <v>36</v>
      </c>
      <c r="S5" s="474" t="s">
        <v>37</v>
      </c>
      <c r="T5" s="288" t="s">
        <v>38</v>
      </c>
      <c r="U5" s="475" t="s">
        <v>38</v>
      </c>
      <c r="V5" s="476"/>
      <c r="W5" s="476"/>
      <c r="X5" s="476"/>
      <c r="Y5" s="500"/>
    </row>
    <row r="6" ht="20.25" customHeight="1" spans="1:25">
      <c r="A6" s="442"/>
      <c r="B6" s="290"/>
      <c r="C6" s="443"/>
      <c r="D6" s="444"/>
      <c r="E6" s="240"/>
      <c r="F6" s="240"/>
      <c r="G6" s="445"/>
      <c r="H6" s="444"/>
      <c r="I6" s="445"/>
      <c r="J6" s="458"/>
      <c r="K6" s="458"/>
      <c r="L6" s="240"/>
      <c r="M6" s="239"/>
      <c r="N6" s="444"/>
      <c r="O6" s="459"/>
      <c r="P6" s="460"/>
      <c r="Q6" s="477"/>
      <c r="R6" s="292"/>
      <c r="S6" s="478"/>
      <c r="T6" s="294"/>
      <c r="U6" s="479"/>
      <c r="V6" s="118"/>
      <c r="W6" s="118"/>
      <c r="X6" s="118"/>
      <c r="Y6" s="119"/>
    </row>
    <row r="7" ht="30.75" customHeight="1" spans="1:25">
      <c r="A7" s="446"/>
      <c r="B7" s="447"/>
      <c r="C7" s="443"/>
      <c r="D7" s="444"/>
      <c r="E7" s="448"/>
      <c r="F7" s="448"/>
      <c r="G7" s="445"/>
      <c r="H7" s="444"/>
      <c r="I7" s="445"/>
      <c r="J7" s="461"/>
      <c r="K7" s="461"/>
      <c r="L7" s="244"/>
      <c r="M7" s="243"/>
      <c r="N7" s="462"/>
      <c r="O7" s="463"/>
      <c r="P7" s="74"/>
      <c r="Q7" s="480"/>
      <c r="R7" s="298"/>
      <c r="S7" s="481"/>
      <c r="T7" s="300"/>
      <c r="U7" s="482" t="s">
        <v>39</v>
      </c>
      <c r="V7" s="483" t="s">
        <v>40</v>
      </c>
      <c r="W7" s="484" t="s">
        <v>41</v>
      </c>
      <c r="X7" s="119" t="s">
        <v>42</v>
      </c>
      <c r="Y7" s="501" t="s">
        <v>43</v>
      </c>
    </row>
    <row r="8" ht="21.75" customHeight="1" spans="1:25">
      <c r="A8" s="449" t="s">
        <v>44</v>
      </c>
      <c r="B8" s="450" t="s">
        <v>45</v>
      </c>
      <c r="C8" s="451">
        <v>210</v>
      </c>
      <c r="D8" s="451"/>
      <c r="E8" s="451"/>
      <c r="F8" s="451"/>
      <c r="G8" s="451"/>
      <c r="H8" s="451"/>
      <c r="I8" s="451"/>
      <c r="J8" s="451"/>
      <c r="K8" s="451"/>
      <c r="L8" s="451"/>
      <c r="M8" s="253">
        <f>SUM(C8:L8)</f>
        <v>210</v>
      </c>
      <c r="N8" s="464"/>
      <c r="O8" s="465" t="s">
        <v>46</v>
      </c>
      <c r="P8" s="466" t="s">
        <v>47</v>
      </c>
      <c r="Q8" s="485" t="s">
        <v>48</v>
      </c>
      <c r="R8" s="92" t="s">
        <v>49</v>
      </c>
      <c r="S8" s="486">
        <v>46022</v>
      </c>
      <c r="T8" s="487"/>
      <c r="U8" s="488"/>
      <c r="V8" s="489"/>
      <c r="W8" s="490"/>
      <c r="X8" s="491"/>
      <c r="Y8" s="502"/>
    </row>
    <row r="9" ht="21.75" customHeight="1" spans="1:25">
      <c r="A9" s="449" t="s">
        <v>50</v>
      </c>
      <c r="B9" s="450" t="s">
        <v>45</v>
      </c>
      <c r="C9" s="451">
        <v>210</v>
      </c>
      <c r="D9" s="451"/>
      <c r="E9" s="451"/>
      <c r="F9" s="451"/>
      <c r="G9" s="451"/>
      <c r="H9" s="451"/>
      <c r="I9" s="451"/>
      <c r="J9" s="451"/>
      <c r="K9" s="451"/>
      <c r="L9" s="451"/>
      <c r="M9" s="253">
        <f>SUM(C9:L9)</f>
        <v>210</v>
      </c>
      <c r="N9" s="464"/>
      <c r="O9" s="465" t="s">
        <v>46</v>
      </c>
      <c r="P9" s="466" t="s">
        <v>51</v>
      </c>
      <c r="Q9" s="485" t="s">
        <v>48</v>
      </c>
      <c r="R9" s="92" t="s">
        <v>52</v>
      </c>
      <c r="S9" s="486">
        <v>46022</v>
      </c>
      <c r="T9" s="487"/>
      <c r="U9" s="488"/>
      <c r="V9" s="489"/>
      <c r="W9" s="490"/>
      <c r="X9" s="491"/>
      <c r="Y9" s="502"/>
    </row>
    <row r="10" ht="24.9" customHeight="1" spans="1:25">
      <c r="A10" s="449" t="s">
        <v>53</v>
      </c>
      <c r="B10" s="450" t="s">
        <v>54</v>
      </c>
      <c r="C10" s="252">
        <v>2330</v>
      </c>
      <c r="D10" s="252"/>
      <c r="E10" s="252">
        <v>45.2</v>
      </c>
      <c r="F10" s="253">
        <v>34.42</v>
      </c>
      <c r="G10" s="253"/>
      <c r="H10" s="253">
        <v>351.2</v>
      </c>
      <c r="I10" s="253"/>
      <c r="J10" s="253"/>
      <c r="K10" s="253"/>
      <c r="L10" s="247"/>
      <c r="M10" s="253">
        <f t="shared" ref="M8:M13" si="0">SUM(C10:L10)</f>
        <v>2760.82</v>
      </c>
      <c r="N10" s="467"/>
      <c r="O10" s="468" t="s">
        <v>55</v>
      </c>
      <c r="P10" s="468"/>
      <c r="Q10" s="492" t="s">
        <v>48</v>
      </c>
      <c r="R10" s="92" t="s">
        <v>56</v>
      </c>
      <c r="S10" s="486">
        <v>46042</v>
      </c>
      <c r="T10" s="487"/>
      <c r="U10" s="493"/>
      <c r="V10" s="494"/>
      <c r="W10" s="490"/>
      <c r="X10" s="491"/>
      <c r="Y10" s="502"/>
    </row>
    <row r="11" ht="24.9" customHeight="1" spans="1:25">
      <c r="A11" s="449"/>
      <c r="B11" s="450"/>
      <c r="C11" s="252"/>
      <c r="D11" s="252"/>
      <c r="E11" s="252"/>
      <c r="F11" s="253"/>
      <c r="G11" s="253"/>
      <c r="H11" s="253"/>
      <c r="I11" s="253"/>
      <c r="J11" s="253"/>
      <c r="K11" s="253"/>
      <c r="L11" s="247"/>
      <c r="M11" s="253">
        <f t="shared" si="0"/>
        <v>0</v>
      </c>
      <c r="N11" s="467"/>
      <c r="O11" s="465"/>
      <c r="P11" s="466"/>
      <c r="Q11" s="492"/>
      <c r="R11" s="92"/>
      <c r="S11" s="495"/>
      <c r="T11" s="487"/>
      <c r="U11" s="491"/>
      <c r="V11" s="496"/>
      <c r="W11" s="490"/>
      <c r="X11" s="491"/>
      <c r="Y11" s="502"/>
    </row>
    <row r="12" ht="24.9" customHeight="1" spans="1:25">
      <c r="A12" s="449"/>
      <c r="B12" s="450"/>
      <c r="C12" s="252"/>
      <c r="D12" s="252"/>
      <c r="E12" s="252"/>
      <c r="F12" s="253"/>
      <c r="G12" s="253"/>
      <c r="H12" s="253"/>
      <c r="I12" s="253"/>
      <c r="J12" s="253"/>
      <c r="K12" s="253"/>
      <c r="L12" s="247"/>
      <c r="M12" s="253">
        <f t="shared" si="0"/>
        <v>0</v>
      </c>
      <c r="N12" s="467"/>
      <c r="O12" s="465"/>
      <c r="P12" s="466"/>
      <c r="Q12" s="492"/>
      <c r="R12" s="92"/>
      <c r="S12" s="495"/>
      <c r="T12" s="487"/>
      <c r="U12" s="491"/>
      <c r="V12" s="496"/>
      <c r="W12" s="490"/>
      <c r="X12" s="491"/>
      <c r="Y12" s="502"/>
    </row>
    <row r="13" ht="24.9" customHeight="1" spans="1:25">
      <c r="A13" s="449"/>
      <c r="B13" s="450"/>
      <c r="C13" s="252"/>
      <c r="D13" s="252"/>
      <c r="E13" s="252"/>
      <c r="F13" s="253"/>
      <c r="G13" s="253"/>
      <c r="H13" s="253"/>
      <c r="I13" s="253"/>
      <c r="J13" s="253"/>
      <c r="K13" s="253"/>
      <c r="L13" s="247"/>
      <c r="M13" s="253">
        <f t="shared" si="0"/>
        <v>0</v>
      </c>
      <c r="N13" s="467"/>
      <c r="O13" s="465"/>
      <c r="P13" s="466"/>
      <c r="Q13" s="492"/>
      <c r="R13" s="92"/>
      <c r="S13" s="495"/>
      <c r="T13" s="487"/>
      <c r="U13" s="491"/>
      <c r="V13" s="496"/>
      <c r="W13" s="490"/>
      <c r="X13" s="491"/>
      <c r="Y13" s="502"/>
    </row>
    <row r="14" ht="21.75" customHeight="1" spans="1:25">
      <c r="A14" s="452" t="s">
        <v>57</v>
      </c>
      <c r="B14" s="450"/>
      <c r="C14" s="451">
        <f t="shared" ref="C14:M14" si="1">SUM(C8:C13)</f>
        <v>2750</v>
      </c>
      <c r="D14" s="451">
        <f t="shared" si="1"/>
        <v>0</v>
      </c>
      <c r="E14" s="451">
        <f t="shared" si="1"/>
        <v>45.2</v>
      </c>
      <c r="F14" s="451">
        <f t="shared" si="1"/>
        <v>34.42</v>
      </c>
      <c r="G14" s="451">
        <f t="shared" si="1"/>
        <v>0</v>
      </c>
      <c r="H14" s="451">
        <f t="shared" si="1"/>
        <v>351.2</v>
      </c>
      <c r="I14" s="451">
        <f t="shared" si="1"/>
        <v>0</v>
      </c>
      <c r="J14" s="451">
        <f t="shared" si="1"/>
        <v>0</v>
      </c>
      <c r="K14" s="451">
        <f t="shared" si="1"/>
        <v>0</v>
      </c>
      <c r="L14" s="451">
        <f t="shared" si="1"/>
        <v>0</v>
      </c>
      <c r="M14" s="451">
        <f t="shared" si="1"/>
        <v>3180.82</v>
      </c>
      <c r="N14" s="464"/>
      <c r="O14" s="468"/>
      <c r="P14" s="466"/>
      <c r="Q14" s="497"/>
      <c r="R14" s="92"/>
      <c r="S14" s="495"/>
      <c r="T14" s="487"/>
      <c r="U14" s="488"/>
      <c r="V14" s="498"/>
      <c r="W14" s="490"/>
      <c r="X14" s="491"/>
      <c r="Y14" s="502"/>
    </row>
  </sheetData>
  <mergeCells count="24">
    <mergeCell ref="A1:O1"/>
    <mergeCell ref="B2:F2"/>
    <mergeCell ref="B3:C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Y6"/>
  </mergeCells>
  <dataValidations count="2">
    <dataValidation type="list" allowBlank="1" showInputMessage="1" showErrorMessage="1" sqref="Q10:Q13">
      <formula1>"CASH, DEBIT, CHEQUE, WECHAT, ALIPAY, 银联, VISA, AX, MASTERCARD, AIRPOINT, VOID, DEBIT &amp; CASH, VISA &amp; CASH, MASTER &amp; CASH,NO ADC"</formula1>
    </dataValidation>
    <dataValidation type="list" allowBlank="1" showInputMessage="1" showErrorMessage="1" sqref="Y8:Y14">
      <formula1>"AD 90, CONTRACT FARE, FOC (GROUP TICKET), EXCH TKTS, 广告换机票,  FOC (AIRPOINT),FOC (PROMOTION),FOC (總部免票), FOC (LUCKY DRAW), ID 00, PUBLISHED FARE, VOID, INAD - 拒绝入境旅客, AD 00 &amp; 50% DOMESTIC, AD 00, AD 50, CORPORATE ACCT.,ID 90,公務套票, PRIVATE FARE,"</formula1>
    </dataValidation>
  </dataValidations>
  <printOptions horizontalCentered="1"/>
  <pageMargins left="0" right="0" top="0.748031496062992" bottom="0.984251968503937" header="0.511811023622047" footer="0.511811023622047"/>
  <pageSetup paperSize="1" scale="82" fitToHeight="6" orientation="landscape"/>
  <headerFooter alignWithMargins="0">
    <oddFooter>&amp;L&amp;"Arial,倾斜"&amp;9China Eastern Airlines
&amp;"宋体,倾斜"多伦多营业部&amp;CPage &amp;P&amp;R&amp;"Arial,倾斜"&amp;9Prepared by Landy Tsai&amp;"Arial,常规"&amp;10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89"/>
  <sheetViews>
    <sheetView topLeftCell="A7" workbookViewId="0">
      <selection activeCell="B25" sqref="B25"/>
    </sheetView>
  </sheetViews>
  <sheetFormatPr defaultColWidth="8" defaultRowHeight="13.2"/>
  <cols>
    <col min="1" max="1" width="17.7" style="12" customWidth="1"/>
    <col min="2" max="2" width="24.1" style="12" customWidth="1"/>
    <col min="3" max="3" width="19.1" style="12" customWidth="1"/>
    <col min="4" max="4" width="23" style="24" customWidth="1"/>
    <col min="5" max="5" width="23.9" style="12" customWidth="1"/>
    <col min="6" max="6" width="26.9" style="24" customWidth="1"/>
    <col min="7" max="7" width="14" style="12" customWidth="1"/>
    <col min="8" max="8" width="9" style="140" customWidth="1"/>
    <col min="9" max="9" width="11" style="12" customWidth="1"/>
    <col min="10" max="10" width="19.2" style="12" customWidth="1"/>
    <col min="11" max="11" width="15.1" style="12" customWidth="1"/>
    <col min="12" max="12" width="17" style="12" customWidth="1"/>
    <col min="13" max="13" width="10.6" style="24" customWidth="1"/>
    <col min="14" max="14" width="12.5" style="24" customWidth="1"/>
    <col min="15" max="15" width="14.5" style="12" customWidth="1"/>
    <col min="16" max="16" width="5" style="12" customWidth="1"/>
    <col min="17" max="17" width="9.9" style="12" customWidth="1"/>
    <col min="18" max="16384" width="8" style="12"/>
  </cols>
  <sheetData>
    <row r="1" ht="39.75" customHeight="1" spans="1:10">
      <c r="A1" s="17" t="s">
        <v>58</v>
      </c>
      <c r="B1" s="17"/>
      <c r="C1" s="17"/>
      <c r="D1" s="17"/>
      <c r="E1" s="17"/>
      <c r="F1" s="17"/>
      <c r="G1" s="113"/>
      <c r="H1" s="113"/>
      <c r="I1" s="113"/>
      <c r="J1" s="113"/>
    </row>
    <row r="2" ht="20.25" customHeight="1" spans="1:6">
      <c r="A2" s="18" t="s">
        <v>15</v>
      </c>
      <c r="B2" s="19" t="s">
        <v>59</v>
      </c>
      <c r="C2" s="20" t="s">
        <v>60</v>
      </c>
      <c r="D2" s="21"/>
      <c r="E2" s="20"/>
      <c r="F2" s="21"/>
    </row>
    <row r="3" ht="19.5" customHeight="1" spans="1:6">
      <c r="A3" s="19" t="s">
        <v>17</v>
      </c>
      <c r="B3" s="20" t="s">
        <v>61</v>
      </c>
      <c r="C3" s="20"/>
      <c r="D3" s="21"/>
      <c r="E3" s="20"/>
      <c r="F3" s="376" t="s">
        <v>62</v>
      </c>
    </row>
    <row r="4" ht="21" customHeight="1" spans="1:2">
      <c r="A4" s="19" t="s">
        <v>63</v>
      </c>
      <c r="B4" s="23">
        <v>160</v>
      </c>
    </row>
    <row r="5" s="13" customFormat="1" ht="22.5" customHeight="1" spans="1:15">
      <c r="A5" s="27" t="s">
        <v>64</v>
      </c>
      <c r="B5" s="28" t="s">
        <v>20</v>
      </c>
      <c r="C5" s="30" t="s">
        <v>65</v>
      </c>
      <c r="D5" s="31" t="s">
        <v>66</v>
      </c>
      <c r="E5" s="30" t="s">
        <v>67</v>
      </c>
      <c r="F5" s="29" t="s">
        <v>33</v>
      </c>
      <c r="G5" s="30" t="s">
        <v>35</v>
      </c>
      <c r="H5" s="30" t="s">
        <v>36</v>
      </c>
      <c r="I5" s="30" t="s">
        <v>37</v>
      </c>
      <c r="J5" s="30" t="s">
        <v>38</v>
      </c>
      <c r="K5" s="117" t="s">
        <v>38</v>
      </c>
      <c r="L5" s="147"/>
      <c r="M5" s="147"/>
      <c r="N5" s="147"/>
      <c r="O5" s="148"/>
    </row>
    <row r="6" s="13" customFormat="1" ht="36.75" customHeight="1" spans="1:15">
      <c r="A6" s="32"/>
      <c r="B6" s="33"/>
      <c r="C6" s="35"/>
      <c r="D6" s="36"/>
      <c r="E6" s="35"/>
      <c r="F6" s="34"/>
      <c r="G6" s="35"/>
      <c r="H6" s="35"/>
      <c r="I6" s="35"/>
      <c r="J6" s="35"/>
      <c r="K6" s="401" t="s">
        <v>39</v>
      </c>
      <c r="L6" s="150" t="s">
        <v>40</v>
      </c>
      <c r="M6" s="150" t="s">
        <v>41</v>
      </c>
      <c r="N6" s="150" t="s">
        <v>68</v>
      </c>
      <c r="O6" s="151" t="s">
        <v>42</v>
      </c>
    </row>
    <row r="7" ht="17.25" customHeight="1" spans="1:17">
      <c r="A7" s="45">
        <v>4560004604</v>
      </c>
      <c r="B7" s="46" t="s">
        <v>69</v>
      </c>
      <c r="C7" s="377">
        <v>1</v>
      </c>
      <c r="D7" s="49" t="e">
        <f t="shared" ref="D7:D19" si="0">#N/A</f>
        <v>#N/A</v>
      </c>
      <c r="E7" s="50" t="e">
        <f t="shared" ref="E7:E27" si="1">#N/A</f>
        <v>#N/A</v>
      </c>
      <c r="F7" s="378">
        <v>208</v>
      </c>
      <c r="G7" s="379" t="s">
        <v>48</v>
      </c>
      <c r="H7" s="380" t="s">
        <v>70</v>
      </c>
      <c r="I7" s="402">
        <v>42217</v>
      </c>
      <c r="J7" s="403"/>
      <c r="K7" s="404">
        <v>42221</v>
      </c>
      <c r="L7" s="405">
        <v>42217</v>
      </c>
      <c r="M7" s="406">
        <v>139</v>
      </c>
      <c r="N7" s="537" t="s">
        <v>71</v>
      </c>
      <c r="O7" s="408"/>
      <c r="P7" s="12">
        <v>1</v>
      </c>
      <c r="Q7" s="160"/>
    </row>
    <row r="8" ht="17.25" customHeight="1" spans="1:17">
      <c r="A8" s="45">
        <v>4560004605</v>
      </c>
      <c r="B8" s="46" t="s">
        <v>69</v>
      </c>
      <c r="C8" s="381">
        <v>1</v>
      </c>
      <c r="D8" s="49" t="e">
        <f t="shared" si="0"/>
        <v>#N/A</v>
      </c>
      <c r="E8" s="50" t="e">
        <f t="shared" si="1"/>
        <v>#N/A</v>
      </c>
      <c r="F8" s="378">
        <v>208</v>
      </c>
      <c r="G8" s="379" t="s">
        <v>48</v>
      </c>
      <c r="H8" s="382" t="s">
        <v>70</v>
      </c>
      <c r="I8" s="402">
        <v>42217</v>
      </c>
      <c r="J8" s="409"/>
      <c r="K8" s="404">
        <v>42221</v>
      </c>
      <c r="L8" s="405">
        <v>42217</v>
      </c>
      <c r="M8" s="410">
        <v>139</v>
      </c>
      <c r="N8" s="538" t="s">
        <v>72</v>
      </c>
      <c r="O8" s="408"/>
      <c r="P8" s="12">
        <v>2</v>
      </c>
      <c r="Q8" s="160"/>
    </row>
    <row r="9" ht="17.25" customHeight="1" spans="1:17">
      <c r="A9" s="45">
        <v>4560004606</v>
      </c>
      <c r="B9" s="46" t="s">
        <v>69</v>
      </c>
      <c r="C9" s="40">
        <v>1</v>
      </c>
      <c r="D9" s="49" t="e">
        <f t="shared" si="0"/>
        <v>#N/A</v>
      </c>
      <c r="E9" s="50" t="e">
        <f t="shared" si="1"/>
        <v>#N/A</v>
      </c>
      <c r="F9" s="378">
        <v>208</v>
      </c>
      <c r="G9" s="383" t="s">
        <v>73</v>
      </c>
      <c r="H9" s="382" t="s">
        <v>74</v>
      </c>
      <c r="I9" s="402">
        <v>42218</v>
      </c>
      <c r="J9" s="409"/>
      <c r="K9" s="404">
        <v>42221</v>
      </c>
      <c r="L9" s="405">
        <v>42218</v>
      </c>
      <c r="M9" s="410"/>
      <c r="N9" s="411"/>
      <c r="O9" s="408">
        <v>42222</v>
      </c>
      <c r="P9" s="12">
        <v>3</v>
      </c>
      <c r="Q9" s="160"/>
    </row>
    <row r="10" ht="17.25" customHeight="1" spans="1:17">
      <c r="A10" s="45">
        <v>4560004607</v>
      </c>
      <c r="B10" s="46" t="s">
        <v>75</v>
      </c>
      <c r="C10" s="40">
        <v>1</v>
      </c>
      <c r="D10" s="49" t="e">
        <f t="shared" si="0"/>
        <v>#N/A</v>
      </c>
      <c r="E10" s="50" t="e">
        <f t="shared" si="1"/>
        <v>#N/A</v>
      </c>
      <c r="F10" s="378">
        <v>208</v>
      </c>
      <c r="G10" s="383" t="s">
        <v>73</v>
      </c>
      <c r="H10" s="382" t="s">
        <v>74</v>
      </c>
      <c r="I10" s="402">
        <v>42218</v>
      </c>
      <c r="J10" s="409"/>
      <c r="K10" s="404">
        <v>42221</v>
      </c>
      <c r="L10" s="405">
        <v>42218</v>
      </c>
      <c r="M10" s="410"/>
      <c r="N10" s="411"/>
      <c r="O10" s="408">
        <v>42222</v>
      </c>
      <c r="P10" s="12">
        <v>4</v>
      </c>
      <c r="Q10" s="160"/>
    </row>
    <row r="11" ht="17.25" customHeight="1" spans="1:17">
      <c r="A11" s="45">
        <v>4560004608</v>
      </c>
      <c r="B11" s="46" t="s">
        <v>76</v>
      </c>
      <c r="C11" s="40">
        <v>2</v>
      </c>
      <c r="D11" s="49" t="e">
        <f t="shared" si="0"/>
        <v>#N/A</v>
      </c>
      <c r="E11" s="50" t="e">
        <f t="shared" si="1"/>
        <v>#N/A</v>
      </c>
      <c r="F11" s="384">
        <v>208</v>
      </c>
      <c r="G11" s="383" t="s">
        <v>73</v>
      </c>
      <c r="H11" s="382" t="s">
        <v>74</v>
      </c>
      <c r="I11" s="402">
        <v>42218</v>
      </c>
      <c r="J11" s="409"/>
      <c r="K11" s="404">
        <v>42221</v>
      </c>
      <c r="L11" s="405">
        <v>42218</v>
      </c>
      <c r="M11" s="410"/>
      <c r="N11" s="411"/>
      <c r="O11" s="408">
        <v>42222</v>
      </c>
      <c r="P11" s="12">
        <v>5</v>
      </c>
      <c r="Q11" s="160"/>
    </row>
    <row r="12" ht="17.25" customHeight="1" spans="1:17">
      <c r="A12" s="45">
        <v>4560004609</v>
      </c>
      <c r="B12" s="46" t="s">
        <v>69</v>
      </c>
      <c r="C12" s="40">
        <v>1</v>
      </c>
      <c r="D12" s="49" t="e">
        <f t="shared" si="0"/>
        <v>#N/A</v>
      </c>
      <c r="E12" s="50" t="e">
        <f t="shared" si="1"/>
        <v>#N/A</v>
      </c>
      <c r="F12" s="384">
        <v>208</v>
      </c>
      <c r="G12" s="379" t="s">
        <v>48</v>
      </c>
      <c r="H12" s="382" t="s">
        <v>77</v>
      </c>
      <c r="I12" s="402">
        <v>42218</v>
      </c>
      <c r="J12" s="409"/>
      <c r="K12" s="404">
        <v>42221</v>
      </c>
      <c r="L12" s="405">
        <v>42218</v>
      </c>
      <c r="M12" s="410">
        <v>140</v>
      </c>
      <c r="N12" s="539" t="s">
        <v>78</v>
      </c>
      <c r="O12" s="408"/>
      <c r="P12" s="12">
        <v>6</v>
      </c>
      <c r="Q12" s="160"/>
    </row>
    <row r="13" ht="17.25" customHeight="1" spans="1:17">
      <c r="A13" s="45">
        <v>4560004610</v>
      </c>
      <c r="B13" s="46" t="s">
        <v>69</v>
      </c>
      <c r="C13" s="40">
        <v>1</v>
      </c>
      <c r="D13" s="49" t="e">
        <f t="shared" si="0"/>
        <v>#N/A</v>
      </c>
      <c r="E13" s="50" t="e">
        <f t="shared" si="1"/>
        <v>#N/A</v>
      </c>
      <c r="F13" s="384">
        <v>208</v>
      </c>
      <c r="G13" s="383" t="s">
        <v>73</v>
      </c>
      <c r="H13" s="382" t="s">
        <v>74</v>
      </c>
      <c r="I13" s="402">
        <v>42219</v>
      </c>
      <c r="J13" s="409"/>
      <c r="K13" s="404">
        <v>42221</v>
      </c>
      <c r="L13" s="405">
        <v>42219</v>
      </c>
      <c r="M13" s="410"/>
      <c r="N13" s="410"/>
      <c r="O13" s="408">
        <v>42222</v>
      </c>
      <c r="P13" s="12">
        <v>7</v>
      </c>
      <c r="Q13" s="160"/>
    </row>
    <row r="14" ht="17.25" customHeight="1" spans="1:17">
      <c r="A14" s="45">
        <v>4560004611</v>
      </c>
      <c r="B14" s="46" t="s">
        <v>79</v>
      </c>
      <c r="C14" s="40">
        <v>2</v>
      </c>
      <c r="D14" s="49" t="e">
        <f t="shared" si="0"/>
        <v>#N/A</v>
      </c>
      <c r="E14" s="50" t="e">
        <f t="shared" si="1"/>
        <v>#N/A</v>
      </c>
      <c r="F14" s="384">
        <v>208</v>
      </c>
      <c r="G14" s="383" t="s">
        <v>73</v>
      </c>
      <c r="H14" s="382" t="s">
        <v>74</v>
      </c>
      <c r="I14" s="402">
        <v>42220</v>
      </c>
      <c r="J14" s="409"/>
      <c r="K14" s="404">
        <v>42221</v>
      </c>
      <c r="L14" s="412">
        <v>42220</v>
      </c>
      <c r="M14" s="410"/>
      <c r="N14" s="410"/>
      <c r="O14" s="408" t="s">
        <v>80</v>
      </c>
      <c r="P14" s="12">
        <v>8</v>
      </c>
      <c r="Q14" s="160"/>
    </row>
    <row r="15" ht="17.25" customHeight="1" spans="1:17">
      <c r="A15" s="45">
        <v>4560004612</v>
      </c>
      <c r="B15" s="46" t="s">
        <v>81</v>
      </c>
      <c r="C15" s="40">
        <v>1</v>
      </c>
      <c r="D15" s="49" t="e">
        <f t="shared" si="0"/>
        <v>#N/A</v>
      </c>
      <c r="E15" s="50" t="e">
        <f t="shared" si="1"/>
        <v>#N/A</v>
      </c>
      <c r="F15" s="384">
        <v>208</v>
      </c>
      <c r="G15" s="379" t="s">
        <v>82</v>
      </c>
      <c r="H15" s="382" t="s">
        <v>74</v>
      </c>
      <c r="I15" s="402">
        <v>42220</v>
      </c>
      <c r="J15" s="409"/>
      <c r="K15" s="404">
        <v>42221</v>
      </c>
      <c r="L15" s="412">
        <v>42220</v>
      </c>
      <c r="M15" s="410"/>
      <c r="N15" s="539" t="s">
        <v>83</v>
      </c>
      <c r="O15" s="408"/>
      <c r="P15" s="12">
        <v>9</v>
      </c>
      <c r="Q15" s="160"/>
    </row>
    <row r="16" ht="15.75" customHeight="1" spans="1:16">
      <c r="A16" s="45">
        <v>4560004613</v>
      </c>
      <c r="B16" s="46" t="s">
        <v>84</v>
      </c>
      <c r="C16" s="385">
        <v>1</v>
      </c>
      <c r="D16" s="49" t="e">
        <f t="shared" si="0"/>
        <v>#N/A</v>
      </c>
      <c r="E16" s="50" t="e">
        <f t="shared" si="1"/>
        <v>#N/A</v>
      </c>
      <c r="F16" s="384">
        <v>208</v>
      </c>
      <c r="G16" s="383" t="s">
        <v>73</v>
      </c>
      <c r="H16" s="380" t="s">
        <v>70</v>
      </c>
      <c r="I16" s="402">
        <v>42221</v>
      </c>
      <c r="J16" s="403"/>
      <c r="K16" s="404">
        <v>42221</v>
      </c>
      <c r="L16" s="404">
        <v>42221</v>
      </c>
      <c r="M16" s="406"/>
      <c r="N16" s="407"/>
      <c r="O16" s="408" t="s">
        <v>80</v>
      </c>
      <c r="P16" s="12">
        <v>10</v>
      </c>
    </row>
    <row r="17" ht="15.75" customHeight="1" spans="1:16">
      <c r="A17" s="45">
        <v>4560004614</v>
      </c>
      <c r="B17" s="46" t="s">
        <v>69</v>
      </c>
      <c r="C17" s="40">
        <v>1</v>
      </c>
      <c r="D17" s="49" t="e">
        <f t="shared" si="0"/>
        <v>#N/A</v>
      </c>
      <c r="E17" s="50" t="e">
        <f t="shared" si="1"/>
        <v>#N/A</v>
      </c>
      <c r="F17" s="384">
        <v>208</v>
      </c>
      <c r="G17" s="383" t="s">
        <v>73</v>
      </c>
      <c r="H17" s="380" t="s">
        <v>70</v>
      </c>
      <c r="I17" s="402">
        <v>42221</v>
      </c>
      <c r="J17" s="409"/>
      <c r="K17" s="404">
        <v>42221</v>
      </c>
      <c r="L17" s="404">
        <v>42221</v>
      </c>
      <c r="M17" s="410"/>
      <c r="N17" s="411"/>
      <c r="O17" s="408" t="s">
        <v>80</v>
      </c>
      <c r="P17" s="12">
        <v>11</v>
      </c>
    </row>
    <row r="18" ht="15.75" customHeight="1" spans="1:17">
      <c r="A18" s="45">
        <v>4560004615</v>
      </c>
      <c r="B18" s="46" t="s">
        <v>85</v>
      </c>
      <c r="C18" s="40">
        <v>1</v>
      </c>
      <c r="D18" s="49" t="e">
        <f t="shared" si="0"/>
        <v>#N/A</v>
      </c>
      <c r="E18" s="50" t="e">
        <f t="shared" si="1"/>
        <v>#N/A</v>
      </c>
      <c r="F18" s="384">
        <v>208</v>
      </c>
      <c r="G18" s="379" t="s">
        <v>48</v>
      </c>
      <c r="H18" s="382" t="s">
        <v>70</v>
      </c>
      <c r="I18" s="402">
        <v>42221</v>
      </c>
      <c r="J18" s="409"/>
      <c r="K18" s="404">
        <v>42221</v>
      </c>
      <c r="L18" s="404">
        <v>42221</v>
      </c>
      <c r="M18" s="410"/>
      <c r="N18" s="538" t="s">
        <v>86</v>
      </c>
      <c r="O18" s="408"/>
      <c r="P18" s="12">
        <v>12</v>
      </c>
      <c r="Q18" s="160"/>
    </row>
    <row r="19" ht="15.75" customHeight="1" spans="1:16">
      <c r="A19" s="45">
        <v>4560004617</v>
      </c>
      <c r="B19" s="46" t="s">
        <v>87</v>
      </c>
      <c r="C19" s="40">
        <v>1</v>
      </c>
      <c r="D19" s="49" t="e">
        <f t="shared" si="0"/>
        <v>#N/A</v>
      </c>
      <c r="E19" s="50" t="e">
        <f t="shared" si="1"/>
        <v>#N/A</v>
      </c>
      <c r="F19" s="384">
        <v>208</v>
      </c>
      <c r="G19" s="379" t="s">
        <v>48</v>
      </c>
      <c r="H19" s="382" t="s">
        <v>74</v>
      </c>
      <c r="I19" s="402">
        <v>42223</v>
      </c>
      <c r="J19" s="409" t="s">
        <v>88</v>
      </c>
      <c r="K19" s="404">
        <v>42226</v>
      </c>
      <c r="L19" s="404">
        <v>42223</v>
      </c>
      <c r="M19" s="410"/>
      <c r="N19" s="538" t="s">
        <v>89</v>
      </c>
      <c r="O19" s="408"/>
      <c r="P19" s="12">
        <v>13</v>
      </c>
    </row>
    <row r="20" ht="15.75" customHeight="1" spans="1:17">
      <c r="A20" s="45">
        <v>4560004618</v>
      </c>
      <c r="B20" s="46" t="s">
        <v>69</v>
      </c>
      <c r="C20" s="40">
        <v>1</v>
      </c>
      <c r="D20" s="49">
        <v>106</v>
      </c>
      <c r="E20" s="50" t="e">
        <f t="shared" si="1"/>
        <v>#N/A</v>
      </c>
      <c r="F20" s="384" t="s">
        <v>90</v>
      </c>
      <c r="G20" s="379" t="s">
        <v>73</v>
      </c>
      <c r="H20" s="382" t="s">
        <v>74</v>
      </c>
      <c r="I20" s="402">
        <v>42224</v>
      </c>
      <c r="J20" s="409"/>
      <c r="K20" s="413"/>
      <c r="L20" s="412"/>
      <c r="M20" s="410"/>
      <c r="N20" s="411"/>
      <c r="O20" s="408"/>
      <c r="P20" s="12">
        <v>14</v>
      </c>
      <c r="Q20" s="160"/>
    </row>
    <row r="21" ht="15.75" customHeight="1" spans="1:16">
      <c r="A21" s="45">
        <v>4560004619</v>
      </c>
      <c r="B21" s="46" t="s">
        <v>69</v>
      </c>
      <c r="C21" s="40">
        <v>1</v>
      </c>
      <c r="D21" s="49">
        <v>800</v>
      </c>
      <c r="E21" s="50" t="e">
        <f t="shared" si="1"/>
        <v>#N/A</v>
      </c>
      <c r="F21" s="384" t="s">
        <v>91</v>
      </c>
      <c r="G21" s="379" t="s">
        <v>82</v>
      </c>
      <c r="H21" s="382" t="s">
        <v>74</v>
      </c>
      <c r="I21" s="402">
        <v>42224</v>
      </c>
      <c r="J21" s="409"/>
      <c r="K21" s="413"/>
      <c r="L21" s="412"/>
      <c r="M21" s="410"/>
      <c r="N21" s="411"/>
      <c r="O21" s="408"/>
      <c r="P21" s="12">
        <v>15</v>
      </c>
    </row>
    <row r="22" ht="17.25" customHeight="1" spans="1:17">
      <c r="A22" s="45"/>
      <c r="B22" s="46"/>
      <c r="C22" s="48"/>
      <c r="D22" s="49" t="e">
        <f t="shared" ref="D22:D27" si="2">#N/A</f>
        <v>#N/A</v>
      </c>
      <c r="E22" s="50" t="e">
        <f t="shared" si="1"/>
        <v>#N/A</v>
      </c>
      <c r="F22" s="384">
        <v>208</v>
      </c>
      <c r="G22" s="379"/>
      <c r="H22" s="382"/>
      <c r="I22" s="402"/>
      <c r="J22" s="409"/>
      <c r="K22" s="413"/>
      <c r="L22" s="412"/>
      <c r="M22" s="410"/>
      <c r="N22" s="411"/>
      <c r="O22" s="408"/>
      <c r="P22" s="12">
        <v>17</v>
      </c>
      <c r="Q22" s="160"/>
    </row>
    <row r="23" ht="17.25" customHeight="1" spans="1:17">
      <c r="A23" s="45"/>
      <c r="B23" s="46"/>
      <c r="C23" s="48"/>
      <c r="D23" s="49" t="e">
        <f t="shared" si="2"/>
        <v>#N/A</v>
      </c>
      <c r="E23" s="50" t="e">
        <f t="shared" si="1"/>
        <v>#N/A</v>
      </c>
      <c r="F23" s="384">
        <v>208</v>
      </c>
      <c r="G23" s="379"/>
      <c r="H23" s="382"/>
      <c r="I23" s="402"/>
      <c r="J23" s="409"/>
      <c r="K23" s="413"/>
      <c r="L23" s="412"/>
      <c r="M23" s="410"/>
      <c r="N23" s="411"/>
      <c r="O23" s="408"/>
      <c r="P23" s="12">
        <v>18</v>
      </c>
      <c r="Q23" s="160"/>
    </row>
    <row r="24" ht="17.25" customHeight="1" spans="1:17">
      <c r="A24" s="45"/>
      <c r="B24" s="46"/>
      <c r="C24" s="48"/>
      <c r="D24" s="49" t="e">
        <f t="shared" si="2"/>
        <v>#N/A</v>
      </c>
      <c r="E24" s="50" t="e">
        <f t="shared" si="1"/>
        <v>#N/A</v>
      </c>
      <c r="F24" s="384">
        <v>208</v>
      </c>
      <c r="G24" s="379"/>
      <c r="H24" s="382"/>
      <c r="I24" s="402"/>
      <c r="J24" s="414"/>
      <c r="K24" s="413"/>
      <c r="L24" s="412"/>
      <c r="M24" s="410"/>
      <c r="N24" s="411"/>
      <c r="O24" s="408"/>
      <c r="P24" s="12">
        <v>19</v>
      </c>
      <c r="Q24" s="160"/>
    </row>
    <row r="25" ht="17.25" customHeight="1" spans="1:17">
      <c r="A25" s="45"/>
      <c r="B25" s="46"/>
      <c r="C25" s="48"/>
      <c r="D25" s="49" t="e">
        <f t="shared" si="2"/>
        <v>#N/A</v>
      </c>
      <c r="E25" s="50" t="e">
        <f t="shared" si="1"/>
        <v>#N/A</v>
      </c>
      <c r="F25" s="384">
        <v>208</v>
      </c>
      <c r="G25" s="379"/>
      <c r="H25" s="382"/>
      <c r="I25" s="415"/>
      <c r="J25" s="409"/>
      <c r="K25" s="416"/>
      <c r="L25" s="412"/>
      <c r="M25" s="410"/>
      <c r="N25" s="410"/>
      <c r="O25" s="408"/>
      <c r="P25" s="12">
        <v>20</v>
      </c>
      <c r="Q25" s="160"/>
    </row>
    <row r="26" ht="17.25" customHeight="1" spans="1:17">
      <c r="A26" s="45"/>
      <c r="B26" s="46"/>
      <c r="C26" s="52"/>
      <c r="D26" s="49" t="e">
        <f t="shared" si="2"/>
        <v>#N/A</v>
      </c>
      <c r="E26" s="50" t="e">
        <f t="shared" si="1"/>
        <v>#N/A</v>
      </c>
      <c r="F26" s="384">
        <v>208</v>
      </c>
      <c r="G26" s="379"/>
      <c r="H26" s="382"/>
      <c r="I26" s="415"/>
      <c r="J26" s="409"/>
      <c r="K26" s="416"/>
      <c r="L26" s="412"/>
      <c r="M26" s="410"/>
      <c r="N26" s="410"/>
      <c r="O26" s="408"/>
      <c r="P26" s="12">
        <v>21</v>
      </c>
      <c r="Q26" s="160"/>
    </row>
    <row r="27" ht="17.25" customHeight="1" spans="1:17">
      <c r="A27" s="54"/>
      <c r="B27" s="55"/>
      <c r="C27" s="57"/>
      <c r="D27" s="58" t="e">
        <f t="shared" si="2"/>
        <v>#N/A</v>
      </c>
      <c r="E27" s="59" t="e">
        <f t="shared" si="1"/>
        <v>#N/A</v>
      </c>
      <c r="F27" s="386">
        <v>208</v>
      </c>
      <c r="G27" s="165"/>
      <c r="H27" s="173"/>
      <c r="I27" s="174"/>
      <c r="J27" s="175"/>
      <c r="K27" s="417"/>
      <c r="L27" s="418"/>
      <c r="M27" s="419"/>
      <c r="N27" s="419"/>
      <c r="O27" s="420"/>
      <c r="P27" s="12">
        <v>22</v>
      </c>
      <c r="Q27" s="160"/>
    </row>
    <row r="28" ht="20.25" customHeight="1" spans="1:6">
      <c r="A28" s="387" t="s">
        <v>92</v>
      </c>
      <c r="B28" s="388"/>
      <c r="C28" s="389"/>
      <c r="D28" s="390"/>
      <c r="E28" s="391" t="e">
        <f>SUM(E7:E27)</f>
        <v>#N/A</v>
      </c>
      <c r="F28" s="392"/>
    </row>
    <row r="29" ht="18.75" customHeight="1" spans="1:5">
      <c r="A29" s="393"/>
      <c r="B29" s="394"/>
      <c r="C29" s="395"/>
      <c r="D29" s="396"/>
      <c r="E29" s="395"/>
    </row>
    <row r="30" ht="39.75" customHeight="1" spans="1:10">
      <c r="A30" s="17" t="s">
        <v>58</v>
      </c>
      <c r="B30" s="17"/>
      <c r="C30" s="17"/>
      <c r="D30" s="17"/>
      <c r="E30" s="17"/>
      <c r="F30" s="17"/>
      <c r="G30" s="113"/>
      <c r="H30" s="113"/>
      <c r="I30" s="113"/>
      <c r="J30" s="113"/>
    </row>
    <row r="31" ht="20.25" customHeight="1" spans="1:6">
      <c r="A31" s="18" t="s">
        <v>15</v>
      </c>
      <c r="B31" s="19" t="s">
        <v>59</v>
      </c>
      <c r="C31" s="20" t="s">
        <v>60</v>
      </c>
      <c r="D31" s="21"/>
      <c r="E31" s="20"/>
      <c r="F31" s="21"/>
    </row>
    <row r="32" ht="19.5" customHeight="1" spans="1:6">
      <c r="A32" s="19" t="s">
        <v>17</v>
      </c>
      <c r="B32" s="20" t="str">
        <f>B3</f>
        <v>AUG, 2015</v>
      </c>
      <c r="C32" s="20"/>
      <c r="D32" s="21"/>
      <c r="E32" s="20"/>
      <c r="F32" s="376" t="s">
        <v>93</v>
      </c>
    </row>
    <row r="33" ht="21" customHeight="1" spans="1:2">
      <c r="A33" s="19" t="s">
        <v>63</v>
      </c>
      <c r="B33" s="23">
        <v>160</v>
      </c>
    </row>
    <row r="34" s="13" customFormat="1" ht="22.5" customHeight="1" spans="1:15">
      <c r="A34" s="27" t="s">
        <v>64</v>
      </c>
      <c r="B34" s="28" t="s">
        <v>20</v>
      </c>
      <c r="C34" s="30" t="s">
        <v>65</v>
      </c>
      <c r="D34" s="30" t="s">
        <v>66</v>
      </c>
      <c r="E34" s="68" t="s">
        <v>67</v>
      </c>
      <c r="F34" s="29" t="s">
        <v>33</v>
      </c>
      <c r="G34" s="30" t="s">
        <v>35</v>
      </c>
      <c r="H34" s="30" t="s">
        <v>36</v>
      </c>
      <c r="I34" s="30" t="s">
        <v>37</v>
      </c>
      <c r="J34" s="30" t="s">
        <v>38</v>
      </c>
      <c r="K34" s="117" t="s">
        <v>38</v>
      </c>
      <c r="L34" s="147"/>
      <c r="M34" s="147"/>
      <c r="N34" s="147"/>
      <c r="O34" s="148"/>
    </row>
    <row r="35" s="13" customFormat="1" ht="36.75" customHeight="1" spans="1:15">
      <c r="A35" s="32"/>
      <c r="B35" s="33"/>
      <c r="C35" s="35"/>
      <c r="D35" s="35"/>
      <c r="E35" s="73"/>
      <c r="F35" s="34"/>
      <c r="G35" s="35"/>
      <c r="H35" s="35"/>
      <c r="I35" s="35"/>
      <c r="J35" s="35"/>
      <c r="K35" s="401" t="s">
        <v>39</v>
      </c>
      <c r="L35" s="150" t="s">
        <v>40</v>
      </c>
      <c r="M35" s="150" t="s">
        <v>41</v>
      </c>
      <c r="N35" s="150" t="s">
        <v>68</v>
      </c>
      <c r="O35" s="151" t="s">
        <v>42</v>
      </c>
    </row>
    <row r="36" ht="17.25" customHeight="1" spans="1:17">
      <c r="A36" s="45"/>
      <c r="B36" s="46"/>
      <c r="C36" s="377"/>
      <c r="D36" s="397">
        <f>$B$4</f>
        <v>160</v>
      </c>
      <c r="E36" s="53">
        <f>D36*C36</f>
        <v>0</v>
      </c>
      <c r="F36" s="378">
        <v>208</v>
      </c>
      <c r="G36" s="379"/>
      <c r="H36" s="380"/>
      <c r="I36" s="402"/>
      <c r="J36" s="403"/>
      <c r="K36" s="404"/>
      <c r="L36" s="405"/>
      <c r="M36" s="406"/>
      <c r="N36" s="407"/>
      <c r="O36" s="408"/>
      <c r="P36" s="12">
        <v>1</v>
      </c>
      <c r="Q36" s="160"/>
    </row>
    <row r="37" ht="17.25" customHeight="1" spans="1:17">
      <c r="A37" s="45"/>
      <c r="B37" s="46"/>
      <c r="C37" s="381"/>
      <c r="D37" s="397" t="e">
        <f t="shared" ref="D37:D57" si="3">#N/A</f>
        <v>#N/A</v>
      </c>
      <c r="E37" s="53" t="e">
        <f t="shared" ref="E37:E57" si="4">#N/A</f>
        <v>#N/A</v>
      </c>
      <c r="F37" s="378">
        <v>208</v>
      </c>
      <c r="G37" s="379"/>
      <c r="H37" s="382"/>
      <c r="I37" s="402"/>
      <c r="J37" s="409"/>
      <c r="K37" s="404"/>
      <c r="L37" s="405"/>
      <c r="M37" s="410"/>
      <c r="N37" s="411"/>
      <c r="O37" s="408"/>
      <c r="P37" s="12">
        <v>2</v>
      </c>
      <c r="Q37" s="160"/>
    </row>
    <row r="38" ht="17.25" customHeight="1" spans="1:17">
      <c r="A38" s="45"/>
      <c r="B38" s="46"/>
      <c r="C38" s="381"/>
      <c r="D38" s="397" t="e">
        <f t="shared" si="3"/>
        <v>#N/A</v>
      </c>
      <c r="E38" s="53" t="e">
        <f t="shared" si="4"/>
        <v>#N/A</v>
      </c>
      <c r="F38" s="378">
        <v>208</v>
      </c>
      <c r="G38" s="379"/>
      <c r="H38" s="382"/>
      <c r="I38" s="402"/>
      <c r="J38" s="409"/>
      <c r="K38" s="404"/>
      <c r="L38" s="405"/>
      <c r="M38" s="410"/>
      <c r="N38" s="411"/>
      <c r="O38" s="408"/>
      <c r="P38" s="12">
        <v>3</v>
      </c>
      <c r="Q38" s="160"/>
    </row>
    <row r="39" ht="17.25" customHeight="1" spans="1:17">
      <c r="A39" s="45"/>
      <c r="B39" s="46"/>
      <c r="C39" s="48"/>
      <c r="D39" s="397" t="e">
        <f t="shared" si="3"/>
        <v>#N/A</v>
      </c>
      <c r="E39" s="53" t="e">
        <f t="shared" si="4"/>
        <v>#N/A</v>
      </c>
      <c r="F39" s="378">
        <v>208</v>
      </c>
      <c r="G39" s="379"/>
      <c r="H39" s="382"/>
      <c r="I39" s="402"/>
      <c r="J39" s="409"/>
      <c r="K39" s="404"/>
      <c r="L39" s="405"/>
      <c r="M39" s="410"/>
      <c r="N39" s="410"/>
      <c r="O39" s="408"/>
      <c r="P39" s="12">
        <v>4</v>
      </c>
      <c r="Q39" s="160"/>
    </row>
    <row r="40" ht="17.25" customHeight="1" spans="1:17">
      <c r="A40" s="45"/>
      <c r="B40" s="46"/>
      <c r="C40" s="48"/>
      <c r="D40" s="397" t="e">
        <f t="shared" si="3"/>
        <v>#N/A</v>
      </c>
      <c r="E40" s="53" t="e">
        <f t="shared" si="4"/>
        <v>#N/A</v>
      </c>
      <c r="F40" s="384">
        <v>208</v>
      </c>
      <c r="G40" s="379"/>
      <c r="H40" s="382"/>
      <c r="I40" s="402"/>
      <c r="J40" s="409"/>
      <c r="K40" s="404"/>
      <c r="L40" s="405"/>
      <c r="M40" s="410"/>
      <c r="N40" s="410"/>
      <c r="O40" s="408"/>
      <c r="P40" s="12">
        <v>5</v>
      </c>
      <c r="Q40" s="160"/>
    </row>
    <row r="41" ht="17.25" customHeight="1" spans="1:17">
      <c r="A41" s="45"/>
      <c r="B41" s="46"/>
      <c r="C41" s="48"/>
      <c r="D41" s="397" t="e">
        <f t="shared" si="3"/>
        <v>#N/A</v>
      </c>
      <c r="E41" s="53" t="e">
        <f t="shared" si="4"/>
        <v>#N/A</v>
      </c>
      <c r="F41" s="384">
        <v>208</v>
      </c>
      <c r="G41" s="379"/>
      <c r="H41" s="382"/>
      <c r="I41" s="402"/>
      <c r="J41" s="409"/>
      <c r="K41" s="404"/>
      <c r="L41" s="405"/>
      <c r="M41" s="410"/>
      <c r="N41" s="410"/>
      <c r="O41" s="408"/>
      <c r="P41" s="12">
        <v>6</v>
      </c>
      <c r="Q41" s="160"/>
    </row>
    <row r="42" ht="17.25" customHeight="1" spans="1:17">
      <c r="A42" s="45"/>
      <c r="B42" s="46"/>
      <c r="C42" s="48"/>
      <c r="D42" s="397" t="e">
        <f t="shared" si="3"/>
        <v>#N/A</v>
      </c>
      <c r="E42" s="53" t="e">
        <f t="shared" si="4"/>
        <v>#N/A</v>
      </c>
      <c r="F42" s="384">
        <v>208</v>
      </c>
      <c r="G42" s="379"/>
      <c r="H42" s="382"/>
      <c r="I42" s="402"/>
      <c r="J42" s="409"/>
      <c r="K42" s="404"/>
      <c r="L42" s="405"/>
      <c r="M42" s="410"/>
      <c r="N42" s="410"/>
      <c r="O42" s="408"/>
      <c r="P42" s="12">
        <v>7</v>
      </c>
      <c r="Q42" s="160"/>
    </row>
    <row r="43" ht="17.25" customHeight="1" spans="1:17">
      <c r="A43" s="45"/>
      <c r="B43" s="46"/>
      <c r="C43" s="48"/>
      <c r="D43" s="397" t="e">
        <f t="shared" si="3"/>
        <v>#N/A</v>
      </c>
      <c r="E43" s="53" t="e">
        <f t="shared" si="4"/>
        <v>#N/A</v>
      </c>
      <c r="F43" s="384">
        <v>208</v>
      </c>
      <c r="G43" s="379"/>
      <c r="H43" s="382"/>
      <c r="I43" s="402"/>
      <c r="J43" s="409"/>
      <c r="K43" s="404"/>
      <c r="L43" s="412"/>
      <c r="M43" s="410"/>
      <c r="N43" s="410"/>
      <c r="O43" s="408"/>
      <c r="P43" s="12">
        <v>8</v>
      </c>
      <c r="Q43" s="160"/>
    </row>
    <row r="44" ht="17.25" customHeight="1" spans="1:17">
      <c r="A44" s="45"/>
      <c r="B44" s="46"/>
      <c r="C44" s="48"/>
      <c r="D44" s="397" t="e">
        <f t="shared" si="3"/>
        <v>#N/A</v>
      </c>
      <c r="E44" s="53" t="e">
        <f t="shared" si="4"/>
        <v>#N/A</v>
      </c>
      <c r="F44" s="384">
        <v>208</v>
      </c>
      <c r="G44" s="379"/>
      <c r="H44" s="382"/>
      <c r="I44" s="402"/>
      <c r="J44" s="409"/>
      <c r="K44" s="404"/>
      <c r="L44" s="412"/>
      <c r="M44" s="410"/>
      <c r="N44" s="410"/>
      <c r="O44" s="408"/>
      <c r="P44" s="12">
        <v>9</v>
      </c>
      <c r="Q44" s="160"/>
    </row>
    <row r="45" ht="15.75" customHeight="1" spans="1:16">
      <c r="A45" s="45"/>
      <c r="B45" s="46"/>
      <c r="C45" s="51"/>
      <c r="D45" s="397" t="e">
        <f t="shared" si="3"/>
        <v>#N/A</v>
      </c>
      <c r="E45" s="53" t="e">
        <f t="shared" si="4"/>
        <v>#N/A</v>
      </c>
      <c r="F45" s="384">
        <v>208</v>
      </c>
      <c r="G45" s="379"/>
      <c r="H45" s="380"/>
      <c r="I45" s="402"/>
      <c r="J45" s="403"/>
      <c r="K45" s="404"/>
      <c r="L45" s="412"/>
      <c r="M45" s="406"/>
      <c r="N45" s="407"/>
      <c r="O45" s="408"/>
      <c r="P45" s="12">
        <v>10</v>
      </c>
    </row>
    <row r="46" ht="15.75" customHeight="1" spans="1:16">
      <c r="A46" s="45"/>
      <c r="B46" s="46"/>
      <c r="C46" s="52"/>
      <c r="D46" s="397" t="e">
        <f t="shared" si="3"/>
        <v>#N/A</v>
      </c>
      <c r="E46" s="53" t="e">
        <f t="shared" si="4"/>
        <v>#N/A</v>
      </c>
      <c r="F46" s="384">
        <v>208</v>
      </c>
      <c r="G46" s="379"/>
      <c r="H46" s="380"/>
      <c r="I46" s="402"/>
      <c r="J46" s="409"/>
      <c r="K46" s="404"/>
      <c r="L46" s="412"/>
      <c r="M46" s="410"/>
      <c r="N46" s="411"/>
      <c r="O46" s="408"/>
      <c r="P46" s="12">
        <v>11</v>
      </c>
    </row>
    <row r="47" ht="15.75" customHeight="1" spans="1:17">
      <c r="A47" s="45"/>
      <c r="B47" s="46"/>
      <c r="C47" s="52"/>
      <c r="D47" s="397" t="e">
        <f t="shared" si="3"/>
        <v>#N/A</v>
      </c>
      <c r="E47" s="53" t="e">
        <f t="shared" si="4"/>
        <v>#N/A</v>
      </c>
      <c r="F47" s="384">
        <v>208</v>
      </c>
      <c r="G47" s="379"/>
      <c r="H47" s="382"/>
      <c r="I47" s="402"/>
      <c r="J47" s="409"/>
      <c r="K47" s="404"/>
      <c r="L47" s="404"/>
      <c r="M47" s="410"/>
      <c r="N47" s="411"/>
      <c r="O47" s="408"/>
      <c r="P47" s="12">
        <v>12</v>
      </c>
      <c r="Q47" s="160"/>
    </row>
    <row r="48" ht="15.75" customHeight="1" spans="1:16">
      <c r="A48" s="45"/>
      <c r="B48" s="46"/>
      <c r="C48" s="48"/>
      <c r="D48" s="397" t="e">
        <f t="shared" si="3"/>
        <v>#N/A</v>
      </c>
      <c r="E48" s="53" t="e">
        <f t="shared" si="4"/>
        <v>#N/A</v>
      </c>
      <c r="F48" s="384">
        <v>208</v>
      </c>
      <c r="G48" s="379"/>
      <c r="H48" s="382"/>
      <c r="I48" s="402"/>
      <c r="J48" s="409"/>
      <c r="K48" s="404"/>
      <c r="L48" s="404"/>
      <c r="M48" s="410"/>
      <c r="N48" s="411"/>
      <c r="O48" s="408"/>
      <c r="P48" s="12">
        <v>13</v>
      </c>
    </row>
    <row r="49" ht="15.75" customHeight="1" spans="1:17">
      <c r="A49" s="45"/>
      <c r="B49" s="46"/>
      <c r="C49" s="48"/>
      <c r="D49" s="397" t="e">
        <f t="shared" si="3"/>
        <v>#N/A</v>
      </c>
      <c r="E49" s="53" t="e">
        <f t="shared" si="4"/>
        <v>#N/A</v>
      </c>
      <c r="F49" s="384">
        <v>208</v>
      </c>
      <c r="G49" s="379"/>
      <c r="H49" s="382"/>
      <c r="I49" s="402"/>
      <c r="J49" s="409"/>
      <c r="K49" s="413"/>
      <c r="L49" s="412"/>
      <c r="M49" s="410"/>
      <c r="N49" s="411"/>
      <c r="O49" s="408"/>
      <c r="P49" s="12">
        <v>14</v>
      </c>
      <c r="Q49" s="160"/>
    </row>
    <row r="50" ht="15.75" customHeight="1" spans="1:16">
      <c r="A50" s="45"/>
      <c r="B50" s="46"/>
      <c r="C50" s="48"/>
      <c r="D50" s="397" t="e">
        <f t="shared" si="3"/>
        <v>#N/A</v>
      </c>
      <c r="E50" s="53" t="e">
        <f t="shared" si="4"/>
        <v>#N/A</v>
      </c>
      <c r="F50" s="384">
        <v>208</v>
      </c>
      <c r="G50" s="379"/>
      <c r="H50" s="382"/>
      <c r="I50" s="402"/>
      <c r="J50" s="409"/>
      <c r="K50" s="413"/>
      <c r="L50" s="412"/>
      <c r="M50" s="410"/>
      <c r="N50" s="411"/>
      <c r="O50" s="408"/>
      <c r="P50" s="12">
        <v>15</v>
      </c>
    </row>
    <row r="51" ht="17.25" customHeight="1" spans="1:17">
      <c r="A51" s="45"/>
      <c r="B51" s="46"/>
      <c r="C51" s="48"/>
      <c r="D51" s="397" t="e">
        <f t="shared" si="3"/>
        <v>#N/A</v>
      </c>
      <c r="E51" s="53" t="e">
        <f t="shared" si="4"/>
        <v>#N/A</v>
      </c>
      <c r="F51" s="384">
        <v>208</v>
      </c>
      <c r="G51" s="379"/>
      <c r="H51" s="382"/>
      <c r="I51" s="402"/>
      <c r="J51" s="409"/>
      <c r="K51" s="413"/>
      <c r="L51" s="412"/>
      <c r="M51" s="410"/>
      <c r="N51" s="411"/>
      <c r="O51" s="408"/>
      <c r="P51" s="12">
        <v>16</v>
      </c>
      <c r="Q51" s="160"/>
    </row>
    <row r="52" ht="17.25" customHeight="1" spans="1:17">
      <c r="A52" s="45"/>
      <c r="B52" s="46"/>
      <c r="C52" s="48"/>
      <c r="D52" s="397" t="e">
        <f t="shared" si="3"/>
        <v>#N/A</v>
      </c>
      <c r="E52" s="53" t="e">
        <f t="shared" si="4"/>
        <v>#N/A</v>
      </c>
      <c r="F52" s="384">
        <v>208</v>
      </c>
      <c r="G52" s="379"/>
      <c r="H52" s="382"/>
      <c r="I52" s="402"/>
      <c r="J52" s="409"/>
      <c r="K52" s="413"/>
      <c r="L52" s="412"/>
      <c r="M52" s="410"/>
      <c r="N52" s="411"/>
      <c r="O52" s="408"/>
      <c r="P52" s="12">
        <v>17</v>
      </c>
      <c r="Q52" s="160"/>
    </row>
    <row r="53" ht="17.25" customHeight="1" spans="1:17">
      <c r="A53" s="45"/>
      <c r="B53" s="46"/>
      <c r="C53" s="48"/>
      <c r="D53" s="397" t="e">
        <f t="shared" si="3"/>
        <v>#N/A</v>
      </c>
      <c r="E53" s="53" t="e">
        <f t="shared" si="4"/>
        <v>#N/A</v>
      </c>
      <c r="F53" s="384">
        <v>208</v>
      </c>
      <c r="G53" s="379"/>
      <c r="H53" s="382"/>
      <c r="I53" s="402"/>
      <c r="J53" s="409"/>
      <c r="K53" s="413"/>
      <c r="L53" s="412"/>
      <c r="M53" s="410"/>
      <c r="N53" s="411"/>
      <c r="O53" s="408"/>
      <c r="P53" s="12">
        <v>18</v>
      </c>
      <c r="Q53" s="160"/>
    </row>
    <row r="54" ht="17.25" customHeight="1" spans="1:17">
      <c r="A54" s="45"/>
      <c r="B54" s="46"/>
      <c r="C54" s="48"/>
      <c r="D54" s="397" t="e">
        <f t="shared" si="3"/>
        <v>#N/A</v>
      </c>
      <c r="E54" s="53" t="e">
        <f t="shared" si="4"/>
        <v>#N/A</v>
      </c>
      <c r="F54" s="384">
        <v>208</v>
      </c>
      <c r="G54" s="379"/>
      <c r="H54" s="382"/>
      <c r="I54" s="402"/>
      <c r="J54" s="414"/>
      <c r="K54" s="413"/>
      <c r="L54" s="412"/>
      <c r="M54" s="410"/>
      <c r="N54" s="411"/>
      <c r="O54" s="408"/>
      <c r="P54" s="12">
        <v>19</v>
      </c>
      <c r="Q54" s="160"/>
    </row>
    <row r="55" ht="17.25" customHeight="1" spans="1:17">
      <c r="A55" s="45"/>
      <c r="B55" s="46"/>
      <c r="C55" s="48"/>
      <c r="D55" s="397" t="e">
        <f t="shared" si="3"/>
        <v>#N/A</v>
      </c>
      <c r="E55" s="53" t="e">
        <f t="shared" si="4"/>
        <v>#N/A</v>
      </c>
      <c r="F55" s="384">
        <v>208</v>
      </c>
      <c r="G55" s="379"/>
      <c r="H55" s="382"/>
      <c r="I55" s="415"/>
      <c r="J55" s="409"/>
      <c r="K55" s="416"/>
      <c r="L55" s="412"/>
      <c r="M55" s="410"/>
      <c r="N55" s="410"/>
      <c r="O55" s="408"/>
      <c r="P55" s="12">
        <v>20</v>
      </c>
      <c r="Q55" s="160"/>
    </row>
    <row r="56" ht="17.25" customHeight="1" spans="1:17">
      <c r="A56" s="45"/>
      <c r="B56" s="46"/>
      <c r="C56" s="52"/>
      <c r="D56" s="397" t="e">
        <f t="shared" si="3"/>
        <v>#N/A</v>
      </c>
      <c r="E56" s="53" t="e">
        <f t="shared" si="4"/>
        <v>#N/A</v>
      </c>
      <c r="F56" s="384">
        <v>208</v>
      </c>
      <c r="G56" s="379"/>
      <c r="H56" s="382"/>
      <c r="I56" s="415"/>
      <c r="J56" s="409"/>
      <c r="K56" s="416"/>
      <c r="L56" s="412"/>
      <c r="M56" s="410"/>
      <c r="N56" s="410"/>
      <c r="O56" s="408"/>
      <c r="P56" s="12">
        <v>21</v>
      </c>
      <c r="Q56" s="160"/>
    </row>
    <row r="57" ht="17.25" customHeight="1" spans="1:17">
      <c r="A57" s="54"/>
      <c r="B57" s="55"/>
      <c r="C57" s="57"/>
      <c r="D57" s="398" t="e">
        <f t="shared" si="3"/>
        <v>#N/A</v>
      </c>
      <c r="E57" s="60" t="e">
        <f t="shared" si="4"/>
        <v>#N/A</v>
      </c>
      <c r="F57" s="386">
        <v>208</v>
      </c>
      <c r="G57" s="165"/>
      <c r="H57" s="173"/>
      <c r="I57" s="174"/>
      <c r="J57" s="175"/>
      <c r="K57" s="417"/>
      <c r="L57" s="418"/>
      <c r="M57" s="419"/>
      <c r="N57" s="419"/>
      <c r="O57" s="420"/>
      <c r="P57" s="12">
        <v>22</v>
      </c>
      <c r="Q57" s="160"/>
    </row>
    <row r="58" ht="20.25" customHeight="1" spans="1:6">
      <c r="A58" s="387" t="s">
        <v>92</v>
      </c>
      <c r="B58" s="388"/>
      <c r="C58" s="389"/>
      <c r="D58" s="399"/>
      <c r="E58" s="400" t="e">
        <f>SUM(E36:E57)</f>
        <v>#N/A</v>
      </c>
      <c r="F58" s="392"/>
    </row>
    <row r="59" ht="18.75" customHeight="1" spans="1:5">
      <c r="A59" s="393"/>
      <c r="B59" s="394"/>
      <c r="C59" s="395"/>
      <c r="D59" s="396"/>
      <c r="E59" s="395"/>
    </row>
    <row r="60" ht="39.75" customHeight="1" spans="1:10">
      <c r="A60" s="17" t="s">
        <v>58</v>
      </c>
      <c r="B60" s="17"/>
      <c r="C60" s="17"/>
      <c r="D60" s="17"/>
      <c r="E60" s="17"/>
      <c r="F60" s="17"/>
      <c r="G60" s="113"/>
      <c r="H60" s="113"/>
      <c r="I60" s="113"/>
      <c r="J60" s="113"/>
    </row>
    <row r="61" ht="20.25" customHeight="1" spans="1:6">
      <c r="A61" s="18" t="s">
        <v>15</v>
      </c>
      <c r="B61" s="19" t="s">
        <v>59</v>
      </c>
      <c r="C61" s="20" t="s">
        <v>60</v>
      </c>
      <c r="D61" s="21"/>
      <c r="E61" s="20"/>
      <c r="F61" s="21"/>
    </row>
    <row r="62" ht="19.5" customHeight="1" spans="1:6">
      <c r="A62" s="19" t="s">
        <v>17</v>
      </c>
      <c r="B62" s="20" t="str">
        <f>B3</f>
        <v>AUG, 2015</v>
      </c>
      <c r="C62" s="20"/>
      <c r="D62" s="21"/>
      <c r="E62" s="20"/>
      <c r="F62" s="376" t="s">
        <v>94</v>
      </c>
    </row>
    <row r="63" ht="21" customHeight="1" spans="1:2">
      <c r="A63" s="19" t="s">
        <v>63</v>
      </c>
      <c r="B63" s="23">
        <v>160</v>
      </c>
    </row>
    <row r="64" s="13" customFormat="1" ht="22.5" customHeight="1" spans="1:15">
      <c r="A64" s="27" t="s">
        <v>64</v>
      </c>
      <c r="B64" s="28" t="s">
        <v>20</v>
      </c>
      <c r="C64" s="30" t="s">
        <v>65</v>
      </c>
      <c r="D64" s="31" t="s">
        <v>66</v>
      </c>
      <c r="E64" s="30" t="s">
        <v>67</v>
      </c>
      <c r="F64" s="29" t="s">
        <v>33</v>
      </c>
      <c r="G64" s="30" t="s">
        <v>35</v>
      </c>
      <c r="H64" s="30" t="s">
        <v>36</v>
      </c>
      <c r="I64" s="30" t="s">
        <v>37</v>
      </c>
      <c r="J64" s="30" t="s">
        <v>38</v>
      </c>
      <c r="K64" s="117" t="s">
        <v>38</v>
      </c>
      <c r="L64" s="147"/>
      <c r="M64" s="147"/>
      <c r="N64" s="147"/>
      <c r="O64" s="148"/>
    </row>
    <row r="65" s="13" customFormat="1" ht="36.75" customHeight="1" spans="1:15">
      <c r="A65" s="32"/>
      <c r="B65" s="33"/>
      <c r="C65" s="35"/>
      <c r="D65" s="36"/>
      <c r="E65" s="35"/>
      <c r="F65" s="34"/>
      <c r="G65" s="35"/>
      <c r="H65" s="35"/>
      <c r="I65" s="35"/>
      <c r="J65" s="35"/>
      <c r="K65" s="401" t="s">
        <v>39</v>
      </c>
      <c r="L65" s="150" t="s">
        <v>40</v>
      </c>
      <c r="M65" s="150" t="s">
        <v>41</v>
      </c>
      <c r="N65" s="150" t="s">
        <v>68</v>
      </c>
      <c r="O65" s="151" t="s">
        <v>42</v>
      </c>
    </row>
    <row r="66" ht="17.25" customHeight="1" spans="1:17">
      <c r="A66" s="45"/>
      <c r="B66" s="46"/>
      <c r="C66" s="377"/>
      <c r="D66" s="49">
        <f>$B$4</f>
        <v>160</v>
      </c>
      <c r="E66" s="50">
        <f>D66*C66</f>
        <v>0</v>
      </c>
      <c r="F66" s="378">
        <v>208</v>
      </c>
      <c r="G66" s="379"/>
      <c r="H66" s="380"/>
      <c r="I66" s="402"/>
      <c r="J66" s="403"/>
      <c r="K66" s="404"/>
      <c r="L66" s="405"/>
      <c r="M66" s="406"/>
      <c r="N66" s="407"/>
      <c r="O66" s="408"/>
      <c r="P66" s="12">
        <v>1</v>
      </c>
      <c r="Q66" s="160"/>
    </row>
    <row r="67" ht="17.25" customHeight="1" spans="1:17">
      <c r="A67" s="45"/>
      <c r="B67" s="46"/>
      <c r="C67" s="381"/>
      <c r="D67" s="49" t="e">
        <f t="shared" ref="D67:D87" si="5">#N/A</f>
        <v>#N/A</v>
      </c>
      <c r="E67" s="50" t="e">
        <f t="shared" ref="E67:E87" si="6">#N/A</f>
        <v>#N/A</v>
      </c>
      <c r="F67" s="378">
        <v>208</v>
      </c>
      <c r="G67" s="379"/>
      <c r="H67" s="382"/>
      <c r="I67" s="402"/>
      <c r="J67" s="409"/>
      <c r="K67" s="404"/>
      <c r="L67" s="405"/>
      <c r="M67" s="410"/>
      <c r="N67" s="411"/>
      <c r="O67" s="408"/>
      <c r="P67" s="12">
        <v>2</v>
      </c>
      <c r="Q67" s="160"/>
    </row>
    <row r="68" ht="17.25" customHeight="1" spans="1:17">
      <c r="A68" s="45"/>
      <c r="B68" s="46"/>
      <c r="C68" s="381"/>
      <c r="D68" s="49" t="e">
        <f t="shared" si="5"/>
        <v>#N/A</v>
      </c>
      <c r="E68" s="50" t="e">
        <f t="shared" si="6"/>
        <v>#N/A</v>
      </c>
      <c r="F68" s="378">
        <v>208</v>
      </c>
      <c r="G68" s="379"/>
      <c r="H68" s="382"/>
      <c r="I68" s="402"/>
      <c r="J68" s="409"/>
      <c r="K68" s="404"/>
      <c r="L68" s="405"/>
      <c r="M68" s="410"/>
      <c r="N68" s="411"/>
      <c r="O68" s="408"/>
      <c r="P68" s="12">
        <v>3</v>
      </c>
      <c r="Q68" s="160"/>
    </row>
    <row r="69" ht="17.25" customHeight="1" spans="1:17">
      <c r="A69" s="45"/>
      <c r="B69" s="46"/>
      <c r="C69" s="48"/>
      <c r="D69" s="49" t="e">
        <f t="shared" si="5"/>
        <v>#N/A</v>
      </c>
      <c r="E69" s="50" t="e">
        <f t="shared" si="6"/>
        <v>#N/A</v>
      </c>
      <c r="F69" s="378">
        <v>208</v>
      </c>
      <c r="G69" s="379"/>
      <c r="H69" s="382"/>
      <c r="I69" s="402"/>
      <c r="J69" s="409"/>
      <c r="K69" s="404"/>
      <c r="L69" s="405"/>
      <c r="M69" s="410"/>
      <c r="N69" s="410"/>
      <c r="O69" s="408"/>
      <c r="P69" s="12">
        <v>4</v>
      </c>
      <c r="Q69" s="160"/>
    </row>
    <row r="70" ht="17.25" customHeight="1" spans="1:17">
      <c r="A70" s="45"/>
      <c r="B70" s="46"/>
      <c r="C70" s="48"/>
      <c r="D70" s="49" t="e">
        <f t="shared" si="5"/>
        <v>#N/A</v>
      </c>
      <c r="E70" s="50" t="e">
        <f t="shared" si="6"/>
        <v>#N/A</v>
      </c>
      <c r="F70" s="384">
        <v>208</v>
      </c>
      <c r="G70" s="379"/>
      <c r="H70" s="382"/>
      <c r="I70" s="402"/>
      <c r="J70" s="409"/>
      <c r="K70" s="404"/>
      <c r="L70" s="405"/>
      <c r="M70" s="410"/>
      <c r="N70" s="410"/>
      <c r="O70" s="408"/>
      <c r="P70" s="12">
        <v>5</v>
      </c>
      <c r="Q70" s="160"/>
    </row>
    <row r="71" ht="17.25" customHeight="1" spans="1:17">
      <c r="A71" s="45"/>
      <c r="B71" s="46"/>
      <c r="C71" s="48"/>
      <c r="D71" s="49" t="e">
        <f t="shared" si="5"/>
        <v>#N/A</v>
      </c>
      <c r="E71" s="50" t="e">
        <f t="shared" si="6"/>
        <v>#N/A</v>
      </c>
      <c r="F71" s="384">
        <v>208</v>
      </c>
      <c r="G71" s="379"/>
      <c r="H71" s="382"/>
      <c r="I71" s="402"/>
      <c r="J71" s="409"/>
      <c r="K71" s="404"/>
      <c r="L71" s="405"/>
      <c r="M71" s="410"/>
      <c r="N71" s="410"/>
      <c r="O71" s="408"/>
      <c r="P71" s="12">
        <v>6</v>
      </c>
      <c r="Q71" s="160"/>
    </row>
    <row r="72" ht="17.25" customHeight="1" spans="1:17">
      <c r="A72" s="45"/>
      <c r="B72" s="46"/>
      <c r="C72" s="48"/>
      <c r="D72" s="49" t="e">
        <f t="shared" si="5"/>
        <v>#N/A</v>
      </c>
      <c r="E72" s="50" t="e">
        <f t="shared" si="6"/>
        <v>#N/A</v>
      </c>
      <c r="F72" s="384">
        <v>208</v>
      </c>
      <c r="G72" s="379"/>
      <c r="H72" s="382"/>
      <c r="I72" s="402"/>
      <c r="J72" s="409"/>
      <c r="K72" s="404"/>
      <c r="L72" s="405"/>
      <c r="M72" s="410"/>
      <c r="N72" s="410"/>
      <c r="O72" s="408"/>
      <c r="P72" s="12">
        <v>7</v>
      </c>
      <c r="Q72" s="160"/>
    </row>
    <row r="73" ht="17.25" customHeight="1" spans="1:17">
      <c r="A73" s="45"/>
      <c r="B73" s="46"/>
      <c r="C73" s="48"/>
      <c r="D73" s="49" t="e">
        <f t="shared" si="5"/>
        <v>#N/A</v>
      </c>
      <c r="E73" s="50" t="e">
        <f t="shared" si="6"/>
        <v>#N/A</v>
      </c>
      <c r="F73" s="384">
        <v>208</v>
      </c>
      <c r="G73" s="379"/>
      <c r="H73" s="382"/>
      <c r="I73" s="402"/>
      <c r="J73" s="409"/>
      <c r="K73" s="404"/>
      <c r="L73" s="412"/>
      <c r="M73" s="410"/>
      <c r="N73" s="410"/>
      <c r="O73" s="408"/>
      <c r="P73" s="12">
        <v>8</v>
      </c>
      <c r="Q73" s="160"/>
    </row>
    <row r="74" ht="17.25" customHeight="1" spans="1:17">
      <c r="A74" s="45"/>
      <c r="B74" s="46"/>
      <c r="C74" s="48"/>
      <c r="D74" s="49" t="e">
        <f t="shared" si="5"/>
        <v>#N/A</v>
      </c>
      <c r="E74" s="50" t="e">
        <f t="shared" si="6"/>
        <v>#N/A</v>
      </c>
      <c r="F74" s="384">
        <v>208</v>
      </c>
      <c r="G74" s="379"/>
      <c r="H74" s="382"/>
      <c r="I74" s="402"/>
      <c r="J74" s="409"/>
      <c r="K74" s="404"/>
      <c r="L74" s="412"/>
      <c r="M74" s="410"/>
      <c r="N74" s="410"/>
      <c r="O74" s="408"/>
      <c r="P74" s="12">
        <v>9</v>
      </c>
      <c r="Q74" s="160"/>
    </row>
    <row r="75" ht="15.75" customHeight="1" spans="1:16">
      <c r="A75" s="45"/>
      <c r="B75" s="46"/>
      <c r="C75" s="51"/>
      <c r="D75" s="49" t="e">
        <f t="shared" si="5"/>
        <v>#N/A</v>
      </c>
      <c r="E75" s="50" t="e">
        <f t="shared" si="6"/>
        <v>#N/A</v>
      </c>
      <c r="F75" s="384">
        <v>208</v>
      </c>
      <c r="G75" s="379"/>
      <c r="H75" s="380"/>
      <c r="I75" s="402"/>
      <c r="J75" s="403"/>
      <c r="K75" s="404"/>
      <c r="L75" s="412"/>
      <c r="M75" s="406"/>
      <c r="N75" s="407"/>
      <c r="O75" s="408"/>
      <c r="P75" s="12">
        <v>10</v>
      </c>
    </row>
    <row r="76" ht="15.75" customHeight="1" spans="1:16">
      <c r="A76" s="45"/>
      <c r="B76" s="46"/>
      <c r="C76" s="52"/>
      <c r="D76" s="49" t="e">
        <f t="shared" si="5"/>
        <v>#N/A</v>
      </c>
      <c r="E76" s="50" t="e">
        <f t="shared" si="6"/>
        <v>#N/A</v>
      </c>
      <c r="F76" s="384">
        <v>208</v>
      </c>
      <c r="G76" s="379"/>
      <c r="H76" s="380"/>
      <c r="I76" s="402"/>
      <c r="J76" s="409"/>
      <c r="K76" s="404"/>
      <c r="L76" s="412"/>
      <c r="M76" s="410"/>
      <c r="N76" s="411"/>
      <c r="O76" s="408"/>
      <c r="P76" s="12">
        <v>11</v>
      </c>
    </row>
    <row r="77" ht="15.75" customHeight="1" spans="1:17">
      <c r="A77" s="45"/>
      <c r="B77" s="46"/>
      <c r="C77" s="52"/>
      <c r="D77" s="49" t="e">
        <f t="shared" si="5"/>
        <v>#N/A</v>
      </c>
      <c r="E77" s="50" t="e">
        <f t="shared" si="6"/>
        <v>#N/A</v>
      </c>
      <c r="F77" s="384">
        <v>208</v>
      </c>
      <c r="G77" s="379"/>
      <c r="H77" s="382"/>
      <c r="I77" s="402"/>
      <c r="J77" s="409"/>
      <c r="K77" s="404"/>
      <c r="L77" s="404"/>
      <c r="M77" s="410"/>
      <c r="N77" s="411"/>
      <c r="O77" s="408"/>
      <c r="P77" s="12">
        <v>12</v>
      </c>
      <c r="Q77" s="160"/>
    </row>
    <row r="78" ht="15.75" customHeight="1" spans="1:16">
      <c r="A78" s="45"/>
      <c r="B78" s="46"/>
      <c r="C78" s="48"/>
      <c r="D78" s="49" t="e">
        <f t="shared" si="5"/>
        <v>#N/A</v>
      </c>
      <c r="E78" s="50" t="e">
        <f t="shared" si="6"/>
        <v>#N/A</v>
      </c>
      <c r="F78" s="384">
        <v>208</v>
      </c>
      <c r="G78" s="379"/>
      <c r="H78" s="382"/>
      <c r="I78" s="402"/>
      <c r="J78" s="409"/>
      <c r="K78" s="404"/>
      <c r="L78" s="404"/>
      <c r="M78" s="410"/>
      <c r="N78" s="411"/>
      <c r="O78" s="408"/>
      <c r="P78" s="12">
        <v>13</v>
      </c>
    </row>
    <row r="79" ht="15.75" customHeight="1" spans="1:17">
      <c r="A79" s="45"/>
      <c r="B79" s="46"/>
      <c r="C79" s="48"/>
      <c r="D79" s="49" t="e">
        <f t="shared" si="5"/>
        <v>#N/A</v>
      </c>
      <c r="E79" s="50" t="e">
        <f t="shared" si="6"/>
        <v>#N/A</v>
      </c>
      <c r="F79" s="384">
        <v>208</v>
      </c>
      <c r="G79" s="379"/>
      <c r="H79" s="382"/>
      <c r="I79" s="402"/>
      <c r="J79" s="409"/>
      <c r="K79" s="413"/>
      <c r="L79" s="412"/>
      <c r="M79" s="410"/>
      <c r="N79" s="411"/>
      <c r="O79" s="408"/>
      <c r="P79" s="12">
        <v>14</v>
      </c>
      <c r="Q79" s="160"/>
    </row>
    <row r="80" ht="15.75" customHeight="1" spans="1:16">
      <c r="A80" s="45"/>
      <c r="B80" s="46"/>
      <c r="C80" s="48"/>
      <c r="D80" s="49" t="e">
        <f t="shared" si="5"/>
        <v>#N/A</v>
      </c>
      <c r="E80" s="50" t="e">
        <f t="shared" si="6"/>
        <v>#N/A</v>
      </c>
      <c r="F80" s="384">
        <v>208</v>
      </c>
      <c r="G80" s="379"/>
      <c r="H80" s="382"/>
      <c r="I80" s="402"/>
      <c r="J80" s="409"/>
      <c r="K80" s="413"/>
      <c r="L80" s="412"/>
      <c r="M80" s="410"/>
      <c r="N80" s="411"/>
      <c r="O80" s="408"/>
      <c r="P80" s="12">
        <v>15</v>
      </c>
    </row>
    <row r="81" ht="17.25" customHeight="1" spans="1:17">
      <c r="A81" s="45"/>
      <c r="B81" s="46"/>
      <c r="C81" s="48"/>
      <c r="D81" s="49" t="e">
        <f t="shared" si="5"/>
        <v>#N/A</v>
      </c>
      <c r="E81" s="50" t="e">
        <f t="shared" si="6"/>
        <v>#N/A</v>
      </c>
      <c r="F81" s="384">
        <v>208</v>
      </c>
      <c r="G81" s="379"/>
      <c r="H81" s="382"/>
      <c r="I81" s="402"/>
      <c r="J81" s="409"/>
      <c r="K81" s="413"/>
      <c r="L81" s="412"/>
      <c r="M81" s="410"/>
      <c r="N81" s="411"/>
      <c r="O81" s="408"/>
      <c r="P81" s="12">
        <v>16</v>
      </c>
      <c r="Q81" s="160"/>
    </row>
    <row r="82" ht="17.25" customHeight="1" spans="1:17">
      <c r="A82" s="45"/>
      <c r="B82" s="46"/>
      <c r="C82" s="48"/>
      <c r="D82" s="49" t="e">
        <f t="shared" si="5"/>
        <v>#N/A</v>
      </c>
      <c r="E82" s="50" t="e">
        <f t="shared" si="6"/>
        <v>#N/A</v>
      </c>
      <c r="F82" s="384">
        <v>208</v>
      </c>
      <c r="G82" s="379"/>
      <c r="H82" s="382"/>
      <c r="I82" s="402"/>
      <c r="J82" s="409"/>
      <c r="K82" s="413"/>
      <c r="L82" s="412"/>
      <c r="M82" s="410"/>
      <c r="N82" s="411"/>
      <c r="O82" s="408"/>
      <c r="P82" s="12">
        <v>17</v>
      </c>
      <c r="Q82" s="160"/>
    </row>
    <row r="83" ht="17.25" customHeight="1" spans="1:17">
      <c r="A83" s="45"/>
      <c r="B83" s="46"/>
      <c r="C83" s="48"/>
      <c r="D83" s="49" t="e">
        <f t="shared" si="5"/>
        <v>#N/A</v>
      </c>
      <c r="E83" s="50" t="e">
        <f t="shared" si="6"/>
        <v>#N/A</v>
      </c>
      <c r="F83" s="384">
        <v>208</v>
      </c>
      <c r="G83" s="379"/>
      <c r="H83" s="382"/>
      <c r="I83" s="402"/>
      <c r="J83" s="409"/>
      <c r="K83" s="413"/>
      <c r="L83" s="412"/>
      <c r="M83" s="410"/>
      <c r="N83" s="411"/>
      <c r="O83" s="408"/>
      <c r="P83" s="12">
        <v>18</v>
      </c>
      <c r="Q83" s="160"/>
    </row>
    <row r="84" ht="17.25" customHeight="1" spans="1:17">
      <c r="A84" s="45"/>
      <c r="B84" s="46"/>
      <c r="C84" s="48"/>
      <c r="D84" s="49" t="e">
        <f t="shared" si="5"/>
        <v>#N/A</v>
      </c>
      <c r="E84" s="50" t="e">
        <f t="shared" si="6"/>
        <v>#N/A</v>
      </c>
      <c r="F84" s="384">
        <v>208</v>
      </c>
      <c r="G84" s="379"/>
      <c r="H84" s="382"/>
      <c r="I84" s="402"/>
      <c r="J84" s="414"/>
      <c r="K84" s="413"/>
      <c r="L84" s="412"/>
      <c r="M84" s="410"/>
      <c r="N84" s="411"/>
      <c r="O84" s="408"/>
      <c r="P84" s="12">
        <v>19</v>
      </c>
      <c r="Q84" s="160"/>
    </row>
    <row r="85" ht="17.25" customHeight="1" spans="1:17">
      <c r="A85" s="45"/>
      <c r="B85" s="46"/>
      <c r="C85" s="48"/>
      <c r="D85" s="49" t="e">
        <f t="shared" si="5"/>
        <v>#N/A</v>
      </c>
      <c r="E85" s="50" t="e">
        <f t="shared" si="6"/>
        <v>#N/A</v>
      </c>
      <c r="F85" s="384">
        <v>208</v>
      </c>
      <c r="G85" s="379"/>
      <c r="H85" s="382"/>
      <c r="I85" s="415"/>
      <c r="J85" s="409"/>
      <c r="K85" s="416"/>
      <c r="L85" s="412"/>
      <c r="M85" s="410"/>
      <c r="N85" s="410"/>
      <c r="O85" s="408"/>
      <c r="P85" s="12">
        <v>20</v>
      </c>
      <c r="Q85" s="160"/>
    </row>
    <row r="86" ht="17.25" customHeight="1" spans="1:17">
      <c r="A86" s="45"/>
      <c r="B86" s="46"/>
      <c r="C86" s="52"/>
      <c r="D86" s="49" t="e">
        <f t="shared" si="5"/>
        <v>#N/A</v>
      </c>
      <c r="E86" s="50" t="e">
        <f t="shared" si="6"/>
        <v>#N/A</v>
      </c>
      <c r="F86" s="384">
        <v>208</v>
      </c>
      <c r="G86" s="379"/>
      <c r="H86" s="382"/>
      <c r="I86" s="415"/>
      <c r="J86" s="409"/>
      <c r="K86" s="416"/>
      <c r="L86" s="412"/>
      <c r="M86" s="410"/>
      <c r="N86" s="410"/>
      <c r="O86" s="408"/>
      <c r="P86" s="12">
        <v>21</v>
      </c>
      <c r="Q86" s="160"/>
    </row>
    <row r="87" ht="17.25" customHeight="1" spans="1:17">
      <c r="A87" s="54"/>
      <c r="B87" s="55"/>
      <c r="C87" s="57"/>
      <c r="D87" s="58" t="e">
        <f t="shared" si="5"/>
        <v>#N/A</v>
      </c>
      <c r="E87" s="59" t="e">
        <f t="shared" si="6"/>
        <v>#N/A</v>
      </c>
      <c r="F87" s="386">
        <v>208</v>
      </c>
      <c r="G87" s="165"/>
      <c r="H87" s="173"/>
      <c r="I87" s="174"/>
      <c r="J87" s="175"/>
      <c r="K87" s="417"/>
      <c r="L87" s="418"/>
      <c r="M87" s="419"/>
      <c r="N87" s="419"/>
      <c r="O87" s="420"/>
      <c r="P87" s="12">
        <v>22</v>
      </c>
      <c r="Q87" s="160"/>
    </row>
    <row r="88" ht="20.25" customHeight="1" spans="1:6">
      <c r="A88" s="387" t="s">
        <v>92</v>
      </c>
      <c r="B88" s="388"/>
      <c r="C88" s="389"/>
      <c r="D88" s="421"/>
      <c r="E88" s="391" t="e">
        <f>SUM(E66:E87)</f>
        <v>#N/A</v>
      </c>
      <c r="F88" s="392"/>
    </row>
    <row r="89" ht="20.25" customHeight="1" spans="1:14">
      <c r="A89" s="422" t="s">
        <v>95</v>
      </c>
      <c r="B89" s="423"/>
      <c r="C89" s="424"/>
      <c r="D89" s="425"/>
      <c r="E89" s="426" t="e">
        <f>E28+E88+E58</f>
        <v>#N/A</v>
      </c>
      <c r="F89" s="427"/>
      <c r="G89" s="172"/>
      <c r="H89" s="172"/>
      <c r="I89" s="180"/>
      <c r="J89" s="180"/>
      <c r="K89" s="172"/>
      <c r="M89" s="12"/>
      <c r="N89" s="12"/>
    </row>
  </sheetData>
  <mergeCells count="36">
    <mergeCell ref="A1:F1"/>
    <mergeCell ref="K5:O5"/>
    <mergeCell ref="A30:F30"/>
    <mergeCell ref="K34:O34"/>
    <mergeCell ref="A60:F60"/>
    <mergeCell ref="K64:O64"/>
    <mergeCell ref="A5:A6"/>
    <mergeCell ref="A34:A35"/>
    <mergeCell ref="A64:A65"/>
    <mergeCell ref="B5:B6"/>
    <mergeCell ref="B34:B35"/>
    <mergeCell ref="B64:B65"/>
    <mergeCell ref="C5:C6"/>
    <mergeCell ref="C34:C35"/>
    <mergeCell ref="C64:C65"/>
    <mergeCell ref="D5:D6"/>
    <mergeCell ref="D34:D35"/>
    <mergeCell ref="D64:D65"/>
    <mergeCell ref="E5:E6"/>
    <mergeCell ref="E34:E35"/>
    <mergeCell ref="E64:E65"/>
    <mergeCell ref="F5:F6"/>
    <mergeCell ref="F34:F35"/>
    <mergeCell ref="F64:F65"/>
    <mergeCell ref="G5:G6"/>
    <mergeCell ref="G34:G35"/>
    <mergeCell ref="G64:G65"/>
    <mergeCell ref="H5:H6"/>
    <mergeCell ref="H34:H35"/>
    <mergeCell ref="H64:H65"/>
    <mergeCell ref="I5:I6"/>
    <mergeCell ref="I34:I35"/>
    <mergeCell ref="I64:I65"/>
    <mergeCell ref="J5:J6"/>
    <mergeCell ref="J34:J35"/>
    <mergeCell ref="J64:J65"/>
  </mergeCells>
  <dataValidations count="1">
    <dataValidation type="list" allowBlank="1" showInputMessage="1" showErrorMessage="1" sqref="G7:G27 G36:G57 G66:G87">
      <formula1>"CASH,DEBIT, CHEQUE, VISA, AX, MASTERCARD, AIRPOINT, VOID, VISA &amp; CASH, MASTER &amp; CASH"</formula1>
    </dataValidation>
  </dataValidations>
  <printOptions horizontalCentered="1"/>
  <pageMargins left="0" right="0" top="0.23" bottom="0.511811023622047" header="0.39" footer="0.236220472440945"/>
  <pageSetup paperSize="1" scale="91" orientation="landscape"/>
  <headerFooter alignWithMargins="0">
    <oddFooter>&amp;L&amp;"Arial,標準"&amp;8China Eastern Airlines
&amp;"細明體,標準"多伦多营业部&amp;R&amp;"Arial,標準"&amp;8Prepared by Linda Ding&amp;10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 tint="0.399945066682943"/>
  </sheetPr>
  <dimension ref="A1:Y179"/>
  <sheetViews>
    <sheetView workbookViewId="0">
      <selection activeCell="K12" sqref="K12"/>
    </sheetView>
  </sheetViews>
  <sheetFormatPr defaultColWidth="10" defaultRowHeight="13.2"/>
  <cols>
    <col min="1" max="1" width="17.6" style="217" customWidth="1"/>
    <col min="2" max="2" width="24.7" style="218" customWidth="1"/>
    <col min="3" max="3" width="11.7" style="219" customWidth="1"/>
    <col min="4" max="4" width="11.1" style="220" customWidth="1"/>
    <col min="5" max="5" width="7.9" style="220" customWidth="1"/>
    <col min="6" max="6" width="8.9" style="221" customWidth="1"/>
    <col min="7" max="8" width="9" style="221" customWidth="1"/>
    <col min="9" max="9" width="10.1" style="221" customWidth="1"/>
    <col min="10" max="10" width="7.6" style="221" customWidth="1"/>
    <col min="11" max="11" width="6.1" style="221" customWidth="1"/>
    <col min="12" max="12" width="7.2" style="221" customWidth="1"/>
    <col min="13" max="13" width="10.4" style="221" customWidth="1"/>
    <col min="14" max="14" width="11.4" style="221" customWidth="1"/>
    <col min="15" max="15" width="12.1" style="221" customWidth="1"/>
    <col min="16" max="17" width="11.5" style="221" customWidth="1"/>
    <col min="18" max="18" width="11.7" style="221" customWidth="1"/>
    <col min="19" max="19" width="25.4" style="222" customWidth="1"/>
    <col min="20" max="20" width="37.7" style="15" customWidth="1"/>
    <col min="21" max="21" width="13.4" style="16" customWidth="1"/>
    <col min="22" max="22" width="13.5" style="16" customWidth="1"/>
    <col min="23" max="23" width="12.9" style="216" customWidth="1"/>
    <col min="24" max="16384" width="10" style="15"/>
  </cols>
  <sheetData>
    <row r="1" s="66" customFormat="1" ht="27.75" customHeight="1" spans="1:23">
      <c r="A1" s="223" t="s">
        <v>96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U1" s="67"/>
      <c r="V1" s="67"/>
      <c r="W1" s="279"/>
    </row>
    <row r="2" ht="15.9" customHeight="1" spans="1:19">
      <c r="A2" s="224" t="s">
        <v>15</v>
      </c>
      <c r="B2" s="225" t="s">
        <v>16</v>
      </c>
      <c r="C2" s="225"/>
      <c r="D2" s="225"/>
      <c r="E2" s="225"/>
      <c r="F2" s="225"/>
      <c r="G2" s="225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80"/>
    </row>
    <row r="3" ht="15.9" customHeight="1" spans="1:19">
      <c r="A3" s="224" t="s">
        <v>17</v>
      </c>
      <c r="B3" s="227" t="s">
        <v>97</v>
      </c>
      <c r="C3" s="227"/>
      <c r="D3" s="228"/>
      <c r="E3" s="228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80"/>
    </row>
    <row r="4" ht="13.95" customHeight="1" spans="1:19">
      <c r="A4" s="224"/>
      <c r="B4" s="229"/>
      <c r="C4" s="229"/>
      <c r="D4" s="228"/>
      <c r="E4" s="228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80"/>
    </row>
    <row r="5" ht="18" customHeight="1" spans="1:19">
      <c r="A5" s="224"/>
      <c r="B5" s="230"/>
      <c r="C5" s="231"/>
      <c r="D5" s="232"/>
      <c r="E5" s="232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57" t="s">
        <v>98</v>
      </c>
      <c r="Q5" s="281"/>
      <c r="R5" s="282"/>
      <c r="S5" s="280"/>
    </row>
    <row r="6" ht="20.1" customHeight="1" spans="1:23">
      <c r="A6" s="233" t="s">
        <v>19</v>
      </c>
      <c r="B6" s="234" t="s">
        <v>20</v>
      </c>
      <c r="C6" s="235" t="s">
        <v>99</v>
      </c>
      <c r="D6" s="235" t="s">
        <v>100</v>
      </c>
      <c r="E6" s="235" t="s">
        <v>22</v>
      </c>
      <c r="F6" s="235" t="s">
        <v>101</v>
      </c>
      <c r="G6" s="236" t="s">
        <v>24</v>
      </c>
      <c r="H6" s="235" t="s">
        <v>25</v>
      </c>
      <c r="I6" s="235" t="s">
        <v>26</v>
      </c>
      <c r="J6" s="236" t="s">
        <v>27</v>
      </c>
      <c r="K6" s="258" t="s">
        <v>28</v>
      </c>
      <c r="L6" s="258" t="s">
        <v>29</v>
      </c>
      <c r="M6" s="235" t="s">
        <v>30</v>
      </c>
      <c r="N6" s="235" t="s">
        <v>102</v>
      </c>
      <c r="O6" s="259" t="s">
        <v>103</v>
      </c>
      <c r="P6" s="260" t="s">
        <v>104</v>
      </c>
      <c r="Q6" s="259" t="s">
        <v>105</v>
      </c>
      <c r="R6" s="283" t="s">
        <v>106</v>
      </c>
      <c r="S6" s="284" t="s">
        <v>107</v>
      </c>
      <c r="T6" s="285" t="s">
        <v>108</v>
      </c>
      <c r="U6" s="286" t="s">
        <v>109</v>
      </c>
      <c r="V6" s="287" t="s">
        <v>110</v>
      </c>
      <c r="W6" s="288" t="s">
        <v>36</v>
      </c>
    </row>
    <row r="7" ht="20.25" customHeight="1" spans="1:23">
      <c r="A7" s="237"/>
      <c r="B7" s="238"/>
      <c r="C7" s="239"/>
      <c r="D7" s="239"/>
      <c r="E7" s="240"/>
      <c r="F7" s="240"/>
      <c r="G7" s="240"/>
      <c r="H7" s="239"/>
      <c r="I7" s="239"/>
      <c r="J7" s="240"/>
      <c r="K7" s="261"/>
      <c r="L7" s="261"/>
      <c r="M7" s="240"/>
      <c r="N7" s="239"/>
      <c r="O7" s="262"/>
      <c r="P7" s="263"/>
      <c r="Q7" s="262"/>
      <c r="R7" s="289"/>
      <c r="S7" s="290"/>
      <c r="T7" s="291"/>
      <c r="U7" s="292"/>
      <c r="V7" s="293"/>
      <c r="W7" s="294"/>
    </row>
    <row r="8" ht="20.25" customHeight="1" spans="1:23">
      <c r="A8" s="241"/>
      <c r="B8" s="242"/>
      <c r="C8" s="243"/>
      <c r="D8" s="243"/>
      <c r="E8" s="244"/>
      <c r="F8" s="244"/>
      <c r="G8" s="244"/>
      <c r="H8" s="243"/>
      <c r="I8" s="243"/>
      <c r="J8" s="244"/>
      <c r="K8" s="264"/>
      <c r="L8" s="264"/>
      <c r="M8" s="244"/>
      <c r="N8" s="243"/>
      <c r="O8" s="265"/>
      <c r="P8" s="266"/>
      <c r="Q8" s="265"/>
      <c r="R8" s="295"/>
      <c r="S8" s="296"/>
      <c r="T8" s="297"/>
      <c r="U8" s="298"/>
      <c r="V8" s="299"/>
      <c r="W8" s="300"/>
    </row>
    <row r="9" s="215" customFormat="1" ht="53.25" customHeight="1" spans="1:24">
      <c r="A9" s="317"/>
      <c r="B9" s="318"/>
      <c r="C9" s="318"/>
      <c r="D9" s="249"/>
      <c r="E9" s="247"/>
      <c r="F9" s="247"/>
      <c r="G9" s="247"/>
      <c r="H9" s="247"/>
      <c r="I9" s="247"/>
      <c r="J9" s="247"/>
      <c r="K9" s="247"/>
      <c r="L9" s="247"/>
      <c r="M9" s="247"/>
      <c r="N9" s="267">
        <f t="shared" ref="N9" si="0">SUM(D9:M9)</f>
        <v>0</v>
      </c>
      <c r="O9" s="268"/>
      <c r="P9" s="338"/>
      <c r="Q9" s="349"/>
      <c r="R9" s="350">
        <f>P9+Q9</f>
        <v>0</v>
      </c>
      <c r="S9" s="302"/>
      <c r="T9" s="351"/>
      <c r="U9" s="84"/>
      <c r="V9" s="352"/>
      <c r="W9" s="304"/>
      <c r="X9" s="353"/>
    </row>
    <row r="10" s="215" customFormat="1" ht="37.2" customHeight="1" spans="1:24">
      <c r="A10" s="319"/>
      <c r="B10" s="320"/>
      <c r="C10" s="321"/>
      <c r="D10" s="322"/>
      <c r="E10" s="323"/>
      <c r="F10" s="323"/>
      <c r="G10" s="323"/>
      <c r="H10" s="323"/>
      <c r="I10" s="323"/>
      <c r="J10" s="322"/>
      <c r="K10" s="339"/>
      <c r="L10" s="339"/>
      <c r="M10" s="339"/>
      <c r="N10" s="323"/>
      <c r="O10" s="340"/>
      <c r="P10" s="341"/>
      <c r="Q10" s="341"/>
      <c r="R10" s="354"/>
      <c r="S10" s="355"/>
      <c r="T10" s="356"/>
      <c r="U10" s="357"/>
      <c r="V10" s="352"/>
      <c r="W10" s="358"/>
      <c r="X10" s="359"/>
    </row>
    <row r="11" s="215" customFormat="1" ht="30" customHeight="1" spans="1:24">
      <c r="A11" s="317"/>
      <c r="B11" s="324"/>
      <c r="C11" s="246"/>
      <c r="D11" s="249"/>
      <c r="E11" s="247"/>
      <c r="F11" s="247"/>
      <c r="G11" s="247"/>
      <c r="H11" s="247"/>
      <c r="I11" s="247"/>
      <c r="J11" s="247"/>
      <c r="K11" s="247"/>
      <c r="L11" s="247"/>
      <c r="M11" s="247"/>
      <c r="N11" s="267">
        <f t="shared" ref="N11" si="1">SUM(D11:M11)</f>
        <v>0</v>
      </c>
      <c r="O11" s="342"/>
      <c r="P11" s="343"/>
      <c r="Q11" s="360"/>
      <c r="R11" s="354"/>
      <c r="S11" s="302"/>
      <c r="T11" s="351"/>
      <c r="U11" s="357"/>
      <c r="V11" s="352"/>
      <c r="W11" s="304"/>
      <c r="X11" s="361"/>
    </row>
    <row r="12" s="215" customFormat="1" ht="30" customHeight="1" spans="1:24">
      <c r="A12" s="317"/>
      <c r="B12" s="318"/>
      <c r="C12" s="246"/>
      <c r="D12" s="249"/>
      <c r="E12" s="247"/>
      <c r="F12" s="247"/>
      <c r="G12" s="247"/>
      <c r="H12" s="247"/>
      <c r="I12" s="247"/>
      <c r="J12" s="247"/>
      <c r="K12" s="247"/>
      <c r="L12" s="247"/>
      <c r="M12" s="247"/>
      <c r="N12" s="267"/>
      <c r="O12" s="268"/>
      <c r="P12" s="344"/>
      <c r="Q12" s="360"/>
      <c r="R12" s="354"/>
      <c r="S12" s="302"/>
      <c r="T12" s="362"/>
      <c r="U12" s="84"/>
      <c r="V12" s="352"/>
      <c r="W12" s="304"/>
      <c r="X12" s="361"/>
    </row>
    <row r="13" s="215" customFormat="1" ht="30" customHeight="1" spans="1:24">
      <c r="A13" s="317"/>
      <c r="B13" s="318"/>
      <c r="C13" s="246"/>
      <c r="D13" s="249"/>
      <c r="E13" s="247"/>
      <c r="F13" s="247"/>
      <c r="G13" s="247"/>
      <c r="H13" s="247"/>
      <c r="I13" s="247"/>
      <c r="J13" s="247"/>
      <c r="K13" s="247"/>
      <c r="L13" s="247"/>
      <c r="M13" s="247"/>
      <c r="N13" s="267"/>
      <c r="O13" s="268"/>
      <c r="P13" s="344"/>
      <c r="Q13" s="360"/>
      <c r="R13" s="354"/>
      <c r="S13" s="302"/>
      <c r="T13" s="362"/>
      <c r="U13" s="84"/>
      <c r="V13" s="352"/>
      <c r="W13" s="304"/>
      <c r="X13" s="361"/>
    </row>
    <row r="14" s="215" customFormat="1" ht="30" customHeight="1" spans="1:24">
      <c r="A14" s="317"/>
      <c r="B14" s="318"/>
      <c r="C14" s="246"/>
      <c r="D14" s="249"/>
      <c r="E14" s="247"/>
      <c r="F14" s="247"/>
      <c r="G14" s="247"/>
      <c r="H14" s="247"/>
      <c r="I14" s="247"/>
      <c r="J14" s="247"/>
      <c r="K14" s="247"/>
      <c r="L14" s="247"/>
      <c r="M14" s="247"/>
      <c r="N14" s="267"/>
      <c r="O14" s="268"/>
      <c r="P14" s="344"/>
      <c r="Q14" s="360"/>
      <c r="R14" s="354"/>
      <c r="S14" s="302"/>
      <c r="T14" s="362"/>
      <c r="U14" s="84"/>
      <c r="V14" s="352"/>
      <c r="W14" s="304"/>
      <c r="X14" s="361"/>
    </row>
    <row r="15" s="215" customFormat="1" ht="30" customHeight="1" spans="1:24">
      <c r="A15" s="325"/>
      <c r="B15" s="318"/>
      <c r="C15" s="246"/>
      <c r="D15" s="249"/>
      <c r="E15" s="247"/>
      <c r="F15" s="247"/>
      <c r="G15" s="247"/>
      <c r="H15" s="247"/>
      <c r="I15" s="247"/>
      <c r="J15" s="247"/>
      <c r="K15" s="247"/>
      <c r="L15" s="247"/>
      <c r="M15" s="247"/>
      <c r="N15" s="267"/>
      <c r="O15" s="268"/>
      <c r="P15" s="344"/>
      <c r="Q15" s="360"/>
      <c r="R15" s="354"/>
      <c r="S15" s="302"/>
      <c r="T15" s="363"/>
      <c r="U15" s="84"/>
      <c r="V15" s="352"/>
      <c r="W15" s="304"/>
      <c r="X15" s="361"/>
    </row>
    <row r="16" s="215" customFormat="1" ht="30" customHeight="1" spans="1:24">
      <c r="A16" s="326"/>
      <c r="B16" s="318"/>
      <c r="C16" s="246"/>
      <c r="D16" s="247"/>
      <c r="E16" s="327"/>
      <c r="F16" s="247"/>
      <c r="G16" s="247"/>
      <c r="H16" s="247"/>
      <c r="I16" s="247"/>
      <c r="J16" s="247"/>
      <c r="K16" s="247"/>
      <c r="L16" s="247"/>
      <c r="M16" s="247"/>
      <c r="N16" s="267"/>
      <c r="O16" s="268"/>
      <c r="P16" s="344"/>
      <c r="Q16" s="360"/>
      <c r="R16" s="354"/>
      <c r="S16" s="302"/>
      <c r="T16" s="363"/>
      <c r="U16" s="84"/>
      <c r="V16" s="352"/>
      <c r="W16" s="304"/>
      <c r="X16" s="361"/>
    </row>
    <row r="17" s="215" customFormat="1" ht="30" customHeight="1" spans="1:24">
      <c r="A17" s="326"/>
      <c r="B17" s="318"/>
      <c r="C17" s="246"/>
      <c r="D17" s="247"/>
      <c r="E17" s="327"/>
      <c r="F17" s="247"/>
      <c r="G17" s="247"/>
      <c r="H17" s="247"/>
      <c r="I17" s="247"/>
      <c r="J17" s="247"/>
      <c r="K17" s="247"/>
      <c r="L17" s="247"/>
      <c r="M17" s="247"/>
      <c r="N17" s="267"/>
      <c r="O17" s="268"/>
      <c r="P17" s="344"/>
      <c r="Q17" s="360"/>
      <c r="R17" s="354"/>
      <c r="S17" s="302"/>
      <c r="T17" s="363"/>
      <c r="U17" s="84"/>
      <c r="V17" s="352"/>
      <c r="W17" s="304"/>
      <c r="X17" s="361"/>
    </row>
    <row r="18" s="215" customFormat="1" ht="30" customHeight="1" spans="1:24">
      <c r="A18" s="326"/>
      <c r="B18" s="318"/>
      <c r="C18" s="246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67"/>
      <c r="O18" s="268"/>
      <c r="P18" s="344"/>
      <c r="Q18" s="360"/>
      <c r="R18" s="354"/>
      <c r="S18" s="302"/>
      <c r="T18" s="363"/>
      <c r="U18" s="84"/>
      <c r="V18" s="352"/>
      <c r="W18" s="304"/>
      <c r="X18" s="361"/>
    </row>
    <row r="19" ht="30" customHeight="1" spans="1:25">
      <c r="A19" s="328"/>
      <c r="B19" s="329"/>
      <c r="C19" s="246"/>
      <c r="D19" s="247"/>
      <c r="E19" s="252"/>
      <c r="F19" s="247"/>
      <c r="G19" s="247"/>
      <c r="H19" s="247"/>
      <c r="I19" s="247"/>
      <c r="J19" s="247"/>
      <c r="K19" s="247"/>
      <c r="L19" s="247"/>
      <c r="M19" s="247"/>
      <c r="N19" s="273"/>
      <c r="O19" s="268"/>
      <c r="P19" s="269"/>
      <c r="Q19" s="301"/>
      <c r="R19" s="354"/>
      <c r="S19" s="302"/>
      <c r="T19" s="362"/>
      <c r="U19" s="84"/>
      <c r="V19" s="352"/>
      <c r="W19" s="304"/>
      <c r="X19" s="215"/>
      <c r="Y19" s="366"/>
    </row>
    <row r="20" ht="30" customHeight="1" spans="1:24">
      <c r="A20" s="330"/>
      <c r="B20" s="329"/>
      <c r="C20" s="249"/>
      <c r="D20" s="252"/>
      <c r="E20" s="252"/>
      <c r="F20" s="253"/>
      <c r="G20" s="247"/>
      <c r="H20" s="253"/>
      <c r="I20" s="253"/>
      <c r="J20" s="253"/>
      <c r="K20" s="253"/>
      <c r="L20" s="253"/>
      <c r="M20" s="253"/>
      <c r="N20" s="273"/>
      <c r="O20" s="274"/>
      <c r="P20" s="269"/>
      <c r="Q20" s="345"/>
      <c r="R20" s="354"/>
      <c r="S20" s="309"/>
      <c r="T20" s="364"/>
      <c r="U20" s="84"/>
      <c r="V20" s="365"/>
      <c r="W20" s="304"/>
      <c r="X20" s="366"/>
    </row>
    <row r="21" ht="30" customHeight="1" spans="1:24">
      <c r="A21" s="330"/>
      <c r="B21" s="329"/>
      <c r="C21" s="249"/>
      <c r="D21" s="247"/>
      <c r="E21" s="252"/>
      <c r="F21" s="247"/>
      <c r="G21" s="247"/>
      <c r="H21" s="247"/>
      <c r="I21" s="247"/>
      <c r="J21" s="247"/>
      <c r="K21" s="253"/>
      <c r="L21" s="253"/>
      <c r="M21" s="253"/>
      <c r="N21" s="273"/>
      <c r="O21" s="345"/>
      <c r="P21" s="269"/>
      <c r="Q21" s="345"/>
      <c r="R21" s="354"/>
      <c r="S21" s="309"/>
      <c r="T21" s="367"/>
      <c r="U21" s="84"/>
      <c r="V21" s="365"/>
      <c r="W21" s="304"/>
      <c r="X21" s="366"/>
    </row>
    <row r="22" ht="30" customHeight="1" spans="1:24">
      <c r="A22" s="330"/>
      <c r="B22" s="331"/>
      <c r="C22" s="332"/>
      <c r="D22" s="333"/>
      <c r="E22" s="333"/>
      <c r="F22" s="334"/>
      <c r="G22" s="335"/>
      <c r="H22" s="334"/>
      <c r="I22" s="334"/>
      <c r="J22" s="334"/>
      <c r="K22" s="334"/>
      <c r="L22" s="334"/>
      <c r="M22" s="334"/>
      <c r="N22" s="273"/>
      <c r="O22" s="346"/>
      <c r="P22" s="347"/>
      <c r="Q22" s="346"/>
      <c r="R22" s="354"/>
      <c r="S22" s="368"/>
      <c r="T22" s="364"/>
      <c r="U22" s="369"/>
      <c r="V22" s="370"/>
      <c r="W22" s="371"/>
      <c r="X22" s="366"/>
    </row>
    <row r="23" ht="30" customHeight="1" spans="1:23">
      <c r="A23" s="336"/>
      <c r="B23" s="337"/>
      <c r="C23" s="332"/>
      <c r="D23" s="333"/>
      <c r="E23" s="333"/>
      <c r="F23" s="334"/>
      <c r="G23" s="335"/>
      <c r="H23" s="334"/>
      <c r="I23" s="334"/>
      <c r="J23" s="334"/>
      <c r="K23" s="334"/>
      <c r="L23" s="334"/>
      <c r="M23" s="334"/>
      <c r="N23" s="348"/>
      <c r="O23" s="346"/>
      <c r="P23" s="347"/>
      <c r="Q23" s="346"/>
      <c r="R23" s="372"/>
      <c r="S23" s="368"/>
      <c r="T23" s="373"/>
      <c r="U23" s="369"/>
      <c r="V23" s="374"/>
      <c r="W23" s="371"/>
    </row>
    <row r="24" ht="30" customHeight="1" spans="2:23">
      <c r="B24" s="337"/>
      <c r="C24" s="332"/>
      <c r="D24" s="333"/>
      <c r="E24" s="333"/>
      <c r="F24" s="334"/>
      <c r="G24" s="335"/>
      <c r="H24" s="334"/>
      <c r="I24" s="334"/>
      <c r="J24" s="334"/>
      <c r="K24" s="334"/>
      <c r="L24" s="334"/>
      <c r="M24" s="334"/>
      <c r="N24" s="348"/>
      <c r="O24" s="346"/>
      <c r="P24" s="347"/>
      <c r="Q24" s="346"/>
      <c r="R24" s="375"/>
      <c r="S24" s="368"/>
      <c r="T24" s="373"/>
      <c r="U24" s="369"/>
      <c r="V24" s="374"/>
      <c r="W24" s="371"/>
    </row>
    <row r="25" ht="24" customHeight="1" spans="1:23">
      <c r="A25" s="254" t="s">
        <v>111</v>
      </c>
      <c r="B25" s="255"/>
      <c r="C25" s="256">
        <f t="shared" ref="C25:R25" si="2">SUM(C9:C19)</f>
        <v>0</v>
      </c>
      <c r="D25" s="256">
        <f t="shared" si="2"/>
        <v>0</v>
      </c>
      <c r="E25" s="256">
        <f t="shared" si="2"/>
        <v>0</v>
      </c>
      <c r="F25" s="256">
        <f t="shared" si="2"/>
        <v>0</v>
      </c>
      <c r="G25" s="256">
        <f t="shared" si="2"/>
        <v>0</v>
      </c>
      <c r="H25" s="256">
        <f t="shared" si="2"/>
        <v>0</v>
      </c>
      <c r="I25" s="256">
        <f t="shared" si="2"/>
        <v>0</v>
      </c>
      <c r="J25" s="256">
        <f t="shared" si="2"/>
        <v>0</v>
      </c>
      <c r="K25" s="256">
        <f t="shared" si="2"/>
        <v>0</v>
      </c>
      <c r="L25" s="256">
        <f t="shared" si="2"/>
        <v>0</v>
      </c>
      <c r="M25" s="256">
        <f t="shared" si="2"/>
        <v>0</v>
      </c>
      <c r="N25" s="256">
        <f t="shared" si="2"/>
        <v>0</v>
      </c>
      <c r="O25" s="277">
        <f t="shared" si="2"/>
        <v>0</v>
      </c>
      <c r="P25" s="278">
        <f t="shared" si="2"/>
        <v>0</v>
      </c>
      <c r="Q25" s="277">
        <f t="shared" si="2"/>
        <v>0</v>
      </c>
      <c r="R25" s="311">
        <f t="shared" si="2"/>
        <v>0</v>
      </c>
      <c r="S25" s="312"/>
      <c r="T25" s="313"/>
      <c r="U25" s="314"/>
      <c r="V25" s="315"/>
      <c r="W25" s="316"/>
    </row>
    <row r="178" spans="10:10">
      <c r="J178" s="232">
        <f>SUM(J8:J177)</f>
        <v>0</v>
      </c>
    </row>
    <row r="179" spans="11:13">
      <c r="K179" s="232">
        <f>SUM(K10:K178)</f>
        <v>0</v>
      </c>
      <c r="L179" s="232">
        <f>SUM(L10:L178)</f>
        <v>0</v>
      </c>
      <c r="M179" s="232">
        <f>SUM(M10:M178)</f>
        <v>0</v>
      </c>
    </row>
  </sheetData>
  <mergeCells count="27">
    <mergeCell ref="A1:S1"/>
    <mergeCell ref="B2:G2"/>
    <mergeCell ref="B3:C3"/>
    <mergeCell ref="P5:R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</mergeCells>
  <printOptions horizontalCentered="1"/>
  <pageMargins left="0" right="0" top="0.748031496062992" bottom="0.984251968503937" header="0.511811023622047" footer="0.511811023622047"/>
  <pageSetup paperSize="1" scale="56" fitToHeight="6" orientation="landscape"/>
  <headerFooter alignWithMargins="0">
    <oddFooter>&amp;L&amp;"Arial,倾斜"&amp;9China Eastern Airlines
&amp;"宋体,倾斜"多伦多营业部&amp;CPage &amp;Pof&amp;N&amp;R&amp;"Arial,倾斜"&amp;9Prepared by Landy Tsai&amp;"Arial,常规"&amp;10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45066682943"/>
  </sheetPr>
  <dimension ref="A1:W181"/>
  <sheetViews>
    <sheetView workbookViewId="0">
      <selection activeCell="A11" sqref="A11"/>
    </sheetView>
  </sheetViews>
  <sheetFormatPr defaultColWidth="10" defaultRowHeight="13.2"/>
  <cols>
    <col min="1" max="1" width="14.9" style="217" customWidth="1"/>
    <col min="2" max="2" width="24.7" style="218" customWidth="1"/>
    <col min="3" max="3" width="11.7" style="219" customWidth="1"/>
    <col min="4" max="4" width="7.9" style="220" customWidth="1"/>
    <col min="5" max="5" width="9.6" style="220" customWidth="1"/>
    <col min="6" max="6" width="7.4" style="221" customWidth="1"/>
    <col min="7" max="7" width="6.7" style="221" customWidth="1"/>
    <col min="8" max="8" width="7.7" style="221" customWidth="1"/>
    <col min="9" max="9" width="8.6" style="221" customWidth="1"/>
    <col min="10" max="10" width="6.7" style="221" customWidth="1"/>
    <col min="11" max="11" width="6.1" style="221" customWidth="1"/>
    <col min="12" max="12" width="5.1" style="221" customWidth="1"/>
    <col min="13" max="13" width="6.7" style="221" customWidth="1"/>
    <col min="14" max="15" width="9" style="221" customWidth="1"/>
    <col min="16" max="17" width="9.2" style="221" customWidth="1"/>
    <col min="18" max="18" width="9.9" style="221" customWidth="1"/>
    <col min="19" max="19" width="25.4" style="222" customWidth="1"/>
    <col min="20" max="20" width="37.7" style="15" customWidth="1"/>
    <col min="21" max="21" width="13.4" style="16" customWidth="1"/>
    <col min="22" max="22" width="13.5" style="16" customWidth="1"/>
    <col min="23" max="23" width="12.9" style="216" customWidth="1"/>
    <col min="24" max="16384" width="10" style="15"/>
  </cols>
  <sheetData>
    <row r="1" s="66" customFormat="1" ht="27.75" customHeight="1" spans="1:23">
      <c r="A1" s="223" t="s">
        <v>112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U1" s="67"/>
      <c r="V1" s="67"/>
      <c r="W1" s="279"/>
    </row>
    <row r="2" ht="15.9" customHeight="1" spans="1:19">
      <c r="A2" s="224" t="s">
        <v>15</v>
      </c>
      <c r="B2" s="225" t="s">
        <v>16</v>
      </c>
      <c r="C2" s="225"/>
      <c r="D2" s="225"/>
      <c r="E2" s="225"/>
      <c r="F2" s="225"/>
      <c r="G2" s="225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80"/>
    </row>
    <row r="3" ht="15.9" customHeight="1" spans="1:19">
      <c r="A3" s="224" t="s">
        <v>17</v>
      </c>
      <c r="B3" s="227" t="s">
        <v>113</v>
      </c>
      <c r="C3" s="227"/>
      <c r="D3" s="228"/>
      <c r="E3" s="228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80"/>
    </row>
    <row r="4" ht="11.25" customHeight="1" spans="1:19">
      <c r="A4" s="224"/>
      <c r="B4" s="229"/>
      <c r="C4" s="229"/>
      <c r="D4" s="228"/>
      <c r="E4" s="228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80"/>
    </row>
    <row r="5" ht="18" customHeight="1" spans="1:19">
      <c r="A5" s="224"/>
      <c r="B5" s="230"/>
      <c r="C5" s="231"/>
      <c r="D5" s="232"/>
      <c r="E5" s="232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57" t="s">
        <v>98</v>
      </c>
      <c r="Q5" s="281"/>
      <c r="R5" s="282"/>
      <c r="S5" s="280"/>
    </row>
    <row r="6" ht="20.1" customHeight="1" spans="1:23">
      <c r="A6" s="233" t="s">
        <v>19</v>
      </c>
      <c r="B6" s="234" t="s">
        <v>20</v>
      </c>
      <c r="C6" s="235" t="s">
        <v>99</v>
      </c>
      <c r="D6" s="235" t="s">
        <v>22</v>
      </c>
      <c r="E6" s="235" t="s">
        <v>100</v>
      </c>
      <c r="F6" s="235" t="s">
        <v>101</v>
      </c>
      <c r="G6" s="236" t="s">
        <v>24</v>
      </c>
      <c r="H6" s="235" t="s">
        <v>25</v>
      </c>
      <c r="I6" s="235" t="s">
        <v>26</v>
      </c>
      <c r="J6" s="236" t="s">
        <v>27</v>
      </c>
      <c r="K6" s="258" t="s">
        <v>28</v>
      </c>
      <c r="L6" s="258" t="s">
        <v>29</v>
      </c>
      <c r="M6" s="235" t="s">
        <v>30</v>
      </c>
      <c r="N6" s="235" t="s">
        <v>102</v>
      </c>
      <c r="O6" s="259" t="s">
        <v>103</v>
      </c>
      <c r="P6" s="260" t="s">
        <v>104</v>
      </c>
      <c r="Q6" s="259" t="s">
        <v>105</v>
      </c>
      <c r="R6" s="283" t="s">
        <v>106</v>
      </c>
      <c r="S6" s="284" t="s">
        <v>107</v>
      </c>
      <c r="T6" s="285" t="s">
        <v>108</v>
      </c>
      <c r="U6" s="286" t="s">
        <v>109</v>
      </c>
      <c r="V6" s="287" t="s">
        <v>110</v>
      </c>
      <c r="W6" s="288" t="s">
        <v>36</v>
      </c>
    </row>
    <row r="7" ht="20.25" customHeight="1" spans="1:23">
      <c r="A7" s="237"/>
      <c r="B7" s="238"/>
      <c r="C7" s="239"/>
      <c r="D7" s="240"/>
      <c r="E7" s="239"/>
      <c r="F7" s="240"/>
      <c r="G7" s="240"/>
      <c r="H7" s="239"/>
      <c r="I7" s="239"/>
      <c r="J7" s="240"/>
      <c r="K7" s="261"/>
      <c r="L7" s="261"/>
      <c r="M7" s="240"/>
      <c r="N7" s="239"/>
      <c r="O7" s="262"/>
      <c r="P7" s="263"/>
      <c r="Q7" s="262"/>
      <c r="R7" s="289"/>
      <c r="S7" s="290"/>
      <c r="T7" s="291"/>
      <c r="U7" s="292"/>
      <c r="V7" s="293"/>
      <c r="W7" s="294"/>
    </row>
    <row r="8" ht="20.25" customHeight="1" spans="1:23">
      <c r="A8" s="241"/>
      <c r="B8" s="242"/>
      <c r="C8" s="243"/>
      <c r="D8" s="244"/>
      <c r="E8" s="243"/>
      <c r="F8" s="244"/>
      <c r="G8" s="244"/>
      <c r="H8" s="243"/>
      <c r="I8" s="243"/>
      <c r="J8" s="244"/>
      <c r="K8" s="264"/>
      <c r="L8" s="264"/>
      <c r="M8" s="244"/>
      <c r="N8" s="243"/>
      <c r="O8" s="265"/>
      <c r="P8" s="266"/>
      <c r="Q8" s="265"/>
      <c r="R8" s="295"/>
      <c r="S8" s="296"/>
      <c r="T8" s="297"/>
      <c r="U8" s="298"/>
      <c r="V8" s="299"/>
      <c r="W8" s="300"/>
    </row>
    <row r="9" s="215" customFormat="1" ht="19.5" customHeight="1" spans="1:23">
      <c r="A9" s="245" t="s">
        <v>114</v>
      </c>
      <c r="B9" s="246" t="s">
        <v>115</v>
      </c>
      <c r="C9" s="246" t="s">
        <v>116</v>
      </c>
      <c r="D9" s="247"/>
      <c r="E9" s="247">
        <v>162.5</v>
      </c>
      <c r="F9" s="247"/>
      <c r="G9" s="247"/>
      <c r="H9" s="247">
        <v>26.08</v>
      </c>
      <c r="I9" s="247">
        <v>155.26</v>
      </c>
      <c r="J9" s="247"/>
      <c r="K9" s="247"/>
      <c r="L9" s="247"/>
      <c r="M9" s="247"/>
      <c r="N9" s="267">
        <f>SUM(D9:M9)</f>
        <v>343.84</v>
      </c>
      <c r="O9" s="268">
        <v>0</v>
      </c>
      <c r="P9" s="269">
        <v>-162.5</v>
      </c>
      <c r="Q9" s="301">
        <v>-181.34</v>
      </c>
      <c r="R9" s="270">
        <f>SUM(O9:Q9)</f>
        <v>-343.84</v>
      </c>
      <c r="S9" s="302" t="s">
        <v>117</v>
      </c>
      <c r="T9" s="303" t="s">
        <v>118</v>
      </c>
      <c r="U9" s="84" t="s">
        <v>119</v>
      </c>
      <c r="V9" s="86">
        <v>44235</v>
      </c>
      <c r="W9" s="304" t="s">
        <v>120</v>
      </c>
    </row>
    <row r="10" s="215" customFormat="1" ht="19.5" customHeight="1" spans="1:23">
      <c r="A10" s="245"/>
      <c r="B10" s="246"/>
      <c r="C10" s="246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67"/>
      <c r="O10" s="268"/>
      <c r="P10" s="269"/>
      <c r="Q10" s="301"/>
      <c r="R10" s="270"/>
      <c r="S10" s="302"/>
      <c r="T10" s="305"/>
      <c r="U10" s="84"/>
      <c r="V10" s="86"/>
      <c r="W10" s="304"/>
    </row>
    <row r="11" s="215" customFormat="1" ht="19.5" customHeight="1" spans="1:23">
      <c r="A11" s="245"/>
      <c r="B11" s="246"/>
      <c r="C11" s="246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67"/>
      <c r="O11" s="268"/>
      <c r="P11" s="269"/>
      <c r="Q11" s="301"/>
      <c r="R11" s="270"/>
      <c r="S11" s="302"/>
      <c r="T11" s="305"/>
      <c r="U11" s="84"/>
      <c r="V11" s="86"/>
      <c r="W11" s="304"/>
    </row>
    <row r="12" s="215" customFormat="1" ht="19.5" customHeight="1" spans="1:23">
      <c r="A12" s="245"/>
      <c r="B12" s="246"/>
      <c r="C12" s="246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67"/>
      <c r="O12" s="268"/>
      <c r="P12" s="269"/>
      <c r="Q12" s="301"/>
      <c r="R12" s="270"/>
      <c r="S12" s="302"/>
      <c r="T12" s="305"/>
      <c r="U12" s="84"/>
      <c r="V12" s="86"/>
      <c r="W12" s="304"/>
    </row>
    <row r="13" s="215" customFormat="1" ht="19.5" customHeight="1" spans="1:23">
      <c r="A13" s="245"/>
      <c r="B13" s="246"/>
      <c r="C13" s="246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67"/>
      <c r="O13" s="268"/>
      <c r="P13" s="269"/>
      <c r="Q13" s="301"/>
      <c r="R13" s="270"/>
      <c r="S13" s="302"/>
      <c r="T13" s="302"/>
      <c r="U13" s="84"/>
      <c r="V13" s="86"/>
      <c r="W13" s="304"/>
    </row>
    <row r="14" s="215" customFormat="1" ht="19.5" customHeight="1" spans="1:23">
      <c r="A14" s="245"/>
      <c r="B14" s="246"/>
      <c r="C14" s="246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67"/>
      <c r="O14" s="268"/>
      <c r="P14" s="269"/>
      <c r="Q14" s="301"/>
      <c r="R14" s="270"/>
      <c r="S14" s="302"/>
      <c r="T14" s="302"/>
      <c r="U14" s="84"/>
      <c r="V14" s="86"/>
      <c r="W14" s="304"/>
    </row>
    <row r="15" s="215" customFormat="1" ht="19.5" customHeight="1" spans="1:23">
      <c r="A15" s="248"/>
      <c r="B15" s="246"/>
      <c r="C15" s="249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67"/>
      <c r="O15" s="268"/>
      <c r="P15" s="269"/>
      <c r="Q15" s="301"/>
      <c r="R15" s="270"/>
      <c r="S15" s="302"/>
      <c r="T15" s="83"/>
      <c r="U15" s="84"/>
      <c r="V15" s="86"/>
      <c r="W15" s="304"/>
    </row>
    <row r="16" s="215" customFormat="1" ht="18.75" customHeight="1" spans="1:23">
      <c r="A16" s="248"/>
      <c r="B16" s="246"/>
      <c r="C16" s="249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67"/>
      <c r="O16" s="268"/>
      <c r="P16" s="270"/>
      <c r="Q16" s="301"/>
      <c r="R16" s="270"/>
      <c r="S16" s="302"/>
      <c r="T16" s="83"/>
      <c r="U16" s="84"/>
      <c r="V16" s="86"/>
      <c r="W16" s="304"/>
    </row>
    <row r="17" s="215" customFormat="1" ht="18.75" customHeight="1" spans="1:23">
      <c r="A17" s="248"/>
      <c r="B17" s="246"/>
      <c r="C17" s="250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67"/>
      <c r="O17" s="271"/>
      <c r="P17" s="269"/>
      <c r="Q17" s="301"/>
      <c r="R17" s="270"/>
      <c r="S17" s="302"/>
      <c r="T17" s="88"/>
      <c r="U17" s="84"/>
      <c r="V17" s="86"/>
      <c r="W17" s="304"/>
    </row>
    <row r="18" s="215" customFormat="1" ht="18.75" customHeight="1" spans="1:23">
      <c r="A18" s="248"/>
      <c r="B18" s="246"/>
      <c r="C18" s="249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67"/>
      <c r="O18" s="271"/>
      <c r="P18" s="269"/>
      <c r="Q18" s="301"/>
      <c r="R18" s="306"/>
      <c r="S18" s="302"/>
      <c r="T18" s="89"/>
      <c r="U18" s="84"/>
      <c r="V18" s="86"/>
      <c r="W18" s="304"/>
    </row>
    <row r="19" s="216" customFormat="1" ht="18.75" customHeight="1" spans="1:23">
      <c r="A19" s="248"/>
      <c r="B19" s="246"/>
      <c r="C19" s="249"/>
      <c r="D19" s="249"/>
      <c r="E19" s="249"/>
      <c r="F19" s="247"/>
      <c r="G19" s="247"/>
      <c r="H19" s="247"/>
      <c r="I19" s="247"/>
      <c r="J19" s="247"/>
      <c r="K19" s="247"/>
      <c r="L19" s="249"/>
      <c r="M19" s="249"/>
      <c r="N19" s="267"/>
      <c r="O19" s="272"/>
      <c r="P19" s="269"/>
      <c r="Q19" s="301"/>
      <c r="R19" s="306"/>
      <c r="S19" s="302"/>
      <c r="T19" s="89"/>
      <c r="U19" s="84"/>
      <c r="V19" s="90"/>
      <c r="W19" s="304"/>
    </row>
    <row r="20" s="216" customFormat="1" ht="18.75" customHeight="1" spans="1:23">
      <c r="A20" s="248"/>
      <c r="B20" s="246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67"/>
      <c r="O20" s="272"/>
      <c r="P20" s="269"/>
      <c r="Q20" s="301"/>
      <c r="R20" s="306"/>
      <c r="S20" s="302"/>
      <c r="T20" s="89"/>
      <c r="U20" s="84"/>
      <c r="V20" s="90"/>
      <c r="W20" s="304"/>
    </row>
    <row r="21" ht="18.75" customHeight="1" spans="1:23">
      <c r="A21" s="251"/>
      <c r="B21" s="246"/>
      <c r="C21" s="249"/>
      <c r="D21" s="252"/>
      <c r="E21" s="252"/>
      <c r="F21" s="253"/>
      <c r="G21" s="253"/>
      <c r="H21" s="253"/>
      <c r="I21" s="253"/>
      <c r="J21" s="253"/>
      <c r="K21" s="253"/>
      <c r="L21" s="253"/>
      <c r="M21" s="253"/>
      <c r="N21" s="273"/>
      <c r="O21" s="274"/>
      <c r="P21" s="275"/>
      <c r="Q21" s="274"/>
      <c r="R21" s="306"/>
      <c r="S21" s="307"/>
      <c r="T21" s="91"/>
      <c r="U21" s="92"/>
      <c r="V21" s="93"/>
      <c r="W21" s="308"/>
    </row>
    <row r="22" ht="18.75" customHeight="1" spans="1:23">
      <c r="A22" s="251"/>
      <c r="B22" s="246"/>
      <c r="C22" s="249"/>
      <c r="D22" s="252"/>
      <c r="E22" s="252"/>
      <c r="F22" s="253"/>
      <c r="G22" s="253"/>
      <c r="H22" s="253"/>
      <c r="I22" s="253"/>
      <c r="J22" s="253"/>
      <c r="K22" s="253"/>
      <c r="L22" s="253"/>
      <c r="M22" s="253"/>
      <c r="N22" s="276"/>
      <c r="O22" s="274"/>
      <c r="P22" s="275"/>
      <c r="Q22" s="274"/>
      <c r="R22" s="306"/>
      <c r="S22" s="307"/>
      <c r="T22" s="91"/>
      <c r="U22" s="95"/>
      <c r="V22" s="93"/>
      <c r="W22" s="304"/>
    </row>
    <row r="23" ht="18.75" customHeight="1" spans="1:23">
      <c r="A23" s="251"/>
      <c r="B23" s="246"/>
      <c r="C23" s="249"/>
      <c r="D23" s="252"/>
      <c r="E23" s="252"/>
      <c r="F23" s="253"/>
      <c r="G23" s="253"/>
      <c r="H23" s="253"/>
      <c r="I23" s="253"/>
      <c r="J23" s="253"/>
      <c r="K23" s="253"/>
      <c r="L23" s="253"/>
      <c r="M23" s="253"/>
      <c r="N23" s="276"/>
      <c r="O23" s="274"/>
      <c r="P23" s="275"/>
      <c r="Q23" s="274"/>
      <c r="R23" s="306"/>
      <c r="S23" s="307"/>
      <c r="T23" s="91"/>
      <c r="U23" s="95"/>
      <c r="V23" s="93"/>
      <c r="W23" s="304"/>
    </row>
    <row r="24" ht="18.75" customHeight="1" spans="1:23">
      <c r="A24" s="251"/>
      <c r="B24" s="246"/>
      <c r="C24" s="249"/>
      <c r="D24" s="252"/>
      <c r="E24" s="252"/>
      <c r="F24" s="253"/>
      <c r="G24" s="253"/>
      <c r="H24" s="253"/>
      <c r="I24" s="253"/>
      <c r="J24" s="253"/>
      <c r="K24" s="253"/>
      <c r="L24" s="253"/>
      <c r="M24" s="253"/>
      <c r="N24" s="276"/>
      <c r="O24" s="274"/>
      <c r="P24" s="275"/>
      <c r="Q24" s="274"/>
      <c r="R24" s="306"/>
      <c r="S24" s="309"/>
      <c r="T24" s="91"/>
      <c r="U24" s="95"/>
      <c r="V24" s="93"/>
      <c r="W24" s="304"/>
    </row>
    <row r="25" ht="24" customHeight="1" spans="1:23">
      <c r="A25" s="251"/>
      <c r="B25" s="246"/>
      <c r="C25" s="249"/>
      <c r="D25" s="252"/>
      <c r="E25" s="252"/>
      <c r="F25" s="253"/>
      <c r="G25" s="253"/>
      <c r="H25" s="253"/>
      <c r="I25" s="253"/>
      <c r="J25" s="253"/>
      <c r="K25" s="253"/>
      <c r="L25" s="253"/>
      <c r="M25" s="253"/>
      <c r="N25" s="276"/>
      <c r="O25" s="274"/>
      <c r="P25" s="275"/>
      <c r="Q25" s="274"/>
      <c r="R25" s="306"/>
      <c r="S25" s="309"/>
      <c r="T25" s="91"/>
      <c r="U25" s="95"/>
      <c r="V25" s="93"/>
      <c r="W25" s="304"/>
    </row>
    <row r="26" ht="24" customHeight="1" spans="1:23">
      <c r="A26" s="251"/>
      <c r="B26" s="246"/>
      <c r="C26" s="249"/>
      <c r="D26" s="252"/>
      <c r="E26" s="252"/>
      <c r="F26" s="253"/>
      <c r="G26" s="253"/>
      <c r="H26" s="253"/>
      <c r="I26" s="253"/>
      <c r="J26" s="253"/>
      <c r="K26" s="253"/>
      <c r="L26" s="253"/>
      <c r="M26" s="253"/>
      <c r="N26" s="276"/>
      <c r="O26" s="274"/>
      <c r="P26" s="275"/>
      <c r="Q26" s="274"/>
      <c r="R26" s="306"/>
      <c r="S26" s="309"/>
      <c r="T26" s="310"/>
      <c r="U26" s="95"/>
      <c r="V26" s="93"/>
      <c r="W26" s="304"/>
    </row>
    <row r="27" ht="24" customHeight="1" spans="1:23">
      <c r="A27" s="254" t="s">
        <v>111</v>
      </c>
      <c r="B27" s="255"/>
      <c r="C27" s="256">
        <f t="shared" ref="C27:R27" si="0">SUM(C9:C26)</f>
        <v>0</v>
      </c>
      <c r="D27" s="256">
        <f t="shared" si="0"/>
        <v>0</v>
      </c>
      <c r="E27" s="256">
        <f t="shared" si="0"/>
        <v>162.5</v>
      </c>
      <c r="F27" s="256">
        <f t="shared" si="0"/>
        <v>0</v>
      </c>
      <c r="G27" s="256">
        <f t="shared" si="0"/>
        <v>0</v>
      </c>
      <c r="H27" s="256">
        <f t="shared" si="0"/>
        <v>26.08</v>
      </c>
      <c r="I27" s="256">
        <f t="shared" si="0"/>
        <v>155.26</v>
      </c>
      <c r="J27" s="256">
        <f t="shared" si="0"/>
        <v>0</v>
      </c>
      <c r="K27" s="256">
        <f t="shared" si="0"/>
        <v>0</v>
      </c>
      <c r="L27" s="256">
        <f t="shared" si="0"/>
        <v>0</v>
      </c>
      <c r="M27" s="256">
        <f t="shared" si="0"/>
        <v>0</v>
      </c>
      <c r="N27" s="256">
        <f t="shared" si="0"/>
        <v>343.84</v>
      </c>
      <c r="O27" s="277">
        <f t="shared" si="0"/>
        <v>0</v>
      </c>
      <c r="P27" s="278">
        <f t="shared" si="0"/>
        <v>-162.5</v>
      </c>
      <c r="Q27" s="277">
        <f t="shared" si="0"/>
        <v>-181.34</v>
      </c>
      <c r="R27" s="311">
        <f t="shared" si="0"/>
        <v>-343.84</v>
      </c>
      <c r="S27" s="312"/>
      <c r="T27" s="313"/>
      <c r="U27" s="314"/>
      <c r="V27" s="315"/>
      <c r="W27" s="316"/>
    </row>
    <row r="180" spans="10:10">
      <c r="J180" s="232">
        <f>SUM(J8:J179)</f>
        <v>0</v>
      </c>
    </row>
    <row r="181" spans="11:13">
      <c r="K181" s="232">
        <f>SUM(K10:K180)</f>
        <v>0</v>
      </c>
      <c r="L181" s="232">
        <f>SUM(L10:L180)</f>
        <v>0</v>
      </c>
      <c r="M181" s="232">
        <f>SUM(M10:M180)</f>
        <v>0</v>
      </c>
    </row>
  </sheetData>
  <mergeCells count="27">
    <mergeCell ref="A1:S1"/>
    <mergeCell ref="B2:G2"/>
    <mergeCell ref="B3:C3"/>
    <mergeCell ref="P5:R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</mergeCells>
  <printOptions horizontalCentered="1"/>
  <pageMargins left="0" right="0" top="0.748031496062992" bottom="0.984251968503937" header="0.511811023622047" footer="0.511811023622047"/>
  <pageSetup paperSize="1" scale="66" fitToHeight="6" orientation="landscape"/>
  <headerFooter alignWithMargins="0">
    <oddFooter>&amp;L&amp;"Arial,倾斜"&amp;9China Eastern Airlines
&amp;"宋体,倾斜"多伦多营业部&amp;CPage &amp;Pof&amp;N&amp;R&amp;"Arial,倾斜"&amp;9Prepared by Landy Tsai&amp;"Arial,常规"&amp;10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52"/>
  </sheetPr>
  <dimension ref="A1:P27"/>
  <sheetViews>
    <sheetView topLeftCell="A2" workbookViewId="0">
      <selection activeCell="M10" sqref="M10:P10"/>
    </sheetView>
  </sheetViews>
  <sheetFormatPr defaultColWidth="9" defaultRowHeight="15.6"/>
  <cols>
    <col min="1" max="1" width="16" style="184" customWidth="1"/>
    <col min="2" max="2" width="6.4" style="184" customWidth="1"/>
    <col min="3" max="3" width="10.5" style="184" customWidth="1"/>
    <col min="4" max="4" width="2.2" style="184" customWidth="1"/>
    <col min="5" max="5" width="6.4" style="184" customWidth="1"/>
    <col min="6" max="7" width="5.9" style="184" customWidth="1"/>
    <col min="8" max="8" width="8.4" style="184" customWidth="1"/>
    <col min="9" max="9" width="6.1" style="184" customWidth="1"/>
    <col min="10" max="11" width="6.7" style="184" customWidth="1"/>
    <col min="12" max="12" width="6.5" style="184" customWidth="1"/>
    <col min="13" max="13" width="9.5" style="184" customWidth="1"/>
    <col min="14" max="14" width="6.2" style="184" customWidth="1"/>
    <col min="15" max="15" width="6.1" style="184" customWidth="1"/>
    <col min="16" max="16" width="22.1" style="184" customWidth="1"/>
    <col min="17" max="16384" width="9" style="184"/>
  </cols>
  <sheetData>
    <row r="1" ht="24" customHeight="1" spans="1:16">
      <c r="A1" s="185" t="s">
        <v>0</v>
      </c>
      <c r="B1" s="186"/>
      <c r="C1" s="186"/>
      <c r="D1" s="186"/>
      <c r="E1" s="187" t="s">
        <v>121</v>
      </c>
      <c r="F1" s="187"/>
      <c r="G1" s="187"/>
      <c r="H1" s="187"/>
      <c r="I1" s="201" t="s">
        <v>2</v>
      </c>
      <c r="J1" s="201"/>
      <c r="K1" s="201"/>
      <c r="L1" s="201"/>
      <c r="M1" s="202" t="s">
        <v>3</v>
      </c>
      <c r="N1" s="203"/>
      <c r="O1" s="203"/>
      <c r="P1" s="204"/>
    </row>
    <row r="2" ht="45" customHeight="1" spans="1:16">
      <c r="A2" s="188"/>
      <c r="B2" s="189"/>
      <c r="C2" s="189"/>
      <c r="D2" s="189"/>
      <c r="E2" s="190"/>
      <c r="F2" s="190"/>
      <c r="G2" s="190"/>
      <c r="H2" s="190"/>
      <c r="I2" s="205"/>
      <c r="J2" s="205"/>
      <c r="K2" s="205"/>
      <c r="L2" s="205"/>
      <c r="M2" s="206" t="s">
        <v>4</v>
      </c>
      <c r="N2" s="206"/>
      <c r="O2" s="206"/>
      <c r="P2" s="207"/>
    </row>
    <row r="3" ht="16.5" customHeight="1" spans="1:16">
      <c r="A3" s="188" t="s">
        <v>5</v>
      </c>
      <c r="B3" s="189"/>
      <c r="C3" s="189"/>
      <c r="D3" s="189"/>
      <c r="E3" s="189"/>
      <c r="F3" s="189"/>
      <c r="G3" s="189"/>
      <c r="H3" s="190" t="s">
        <v>6</v>
      </c>
      <c r="I3" s="190"/>
      <c r="J3" s="190"/>
      <c r="K3" s="190"/>
      <c r="L3" s="190"/>
      <c r="M3" s="189"/>
      <c r="N3" s="189"/>
      <c r="O3" s="189"/>
      <c r="P3" s="208"/>
    </row>
    <row r="4" spans="1:16">
      <c r="A4" s="188" t="s">
        <v>7</v>
      </c>
      <c r="B4" s="189"/>
      <c r="C4" s="189"/>
      <c r="D4" s="189"/>
      <c r="E4" s="189"/>
      <c r="F4" s="189"/>
      <c r="G4" s="189"/>
      <c r="H4" s="189" t="s">
        <v>8</v>
      </c>
      <c r="I4" s="189"/>
      <c r="J4" s="189"/>
      <c r="K4" s="189"/>
      <c r="L4" s="189"/>
      <c r="M4" s="189" t="s">
        <v>9</v>
      </c>
      <c r="N4" s="189"/>
      <c r="O4" s="189"/>
      <c r="P4" s="208"/>
    </row>
    <row r="5" s="181" customFormat="1" spans="1:16">
      <c r="A5" s="188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208"/>
    </row>
    <row r="6" s="182" customFormat="1" ht="15.9" customHeight="1" spans="1:16">
      <c r="A6" s="191"/>
      <c r="B6" s="192"/>
      <c r="C6" s="192"/>
      <c r="D6" s="192"/>
      <c r="E6" s="192"/>
      <c r="F6" s="192"/>
      <c r="G6" s="193"/>
      <c r="H6" s="194"/>
      <c r="I6" s="194"/>
      <c r="J6" s="194"/>
      <c r="K6" s="194"/>
      <c r="L6" s="194"/>
      <c r="M6" s="209"/>
      <c r="N6" s="210"/>
      <c r="O6" s="210"/>
      <c r="P6" s="211"/>
    </row>
    <row r="7" s="182" customFormat="1" ht="15.9" customHeight="1" spans="1:16">
      <c r="A7" s="191"/>
      <c r="B7" s="192"/>
      <c r="C7" s="192"/>
      <c r="D7" s="192"/>
      <c r="E7" s="192"/>
      <c r="F7" s="192"/>
      <c r="G7" s="193"/>
      <c r="H7" s="194"/>
      <c r="I7" s="194"/>
      <c r="J7" s="194"/>
      <c r="K7" s="194"/>
      <c r="L7" s="194"/>
      <c r="M7" s="209"/>
      <c r="N7" s="210"/>
      <c r="O7" s="210"/>
      <c r="P7" s="211"/>
    </row>
    <row r="8" s="182" customFormat="1" ht="15.9" customHeight="1" spans="1:16">
      <c r="A8" s="191"/>
      <c r="B8" s="192"/>
      <c r="C8" s="192"/>
      <c r="D8" s="192"/>
      <c r="E8" s="192"/>
      <c r="F8" s="192"/>
      <c r="G8" s="193"/>
      <c r="H8" s="194"/>
      <c r="I8" s="194"/>
      <c r="J8" s="194"/>
      <c r="K8" s="194"/>
      <c r="L8" s="194"/>
      <c r="M8" s="209"/>
      <c r="N8" s="210"/>
      <c r="O8" s="210"/>
      <c r="P8" s="211"/>
    </row>
    <row r="9" s="182" customFormat="1" ht="15.9" customHeight="1" spans="1:16">
      <c r="A9" s="191"/>
      <c r="B9" s="192"/>
      <c r="C9" s="192"/>
      <c r="D9" s="192"/>
      <c r="E9" s="192"/>
      <c r="F9" s="192"/>
      <c r="G9" s="193"/>
      <c r="H9" s="194"/>
      <c r="I9" s="194"/>
      <c r="J9" s="194"/>
      <c r="K9" s="194"/>
      <c r="L9" s="194"/>
      <c r="M9" s="209"/>
      <c r="N9" s="210"/>
      <c r="O9" s="210"/>
      <c r="P9" s="211"/>
    </row>
    <row r="10" s="182" customFormat="1" ht="15.9" customHeight="1" spans="1:16">
      <c r="A10" s="191"/>
      <c r="B10" s="192"/>
      <c r="C10" s="192"/>
      <c r="D10" s="192"/>
      <c r="E10" s="192"/>
      <c r="F10" s="192"/>
      <c r="G10" s="193"/>
      <c r="H10" s="194"/>
      <c r="I10" s="194"/>
      <c r="J10" s="194"/>
      <c r="K10" s="194"/>
      <c r="L10" s="194"/>
      <c r="M10" s="209"/>
      <c r="N10" s="210"/>
      <c r="O10" s="210"/>
      <c r="P10" s="211"/>
    </row>
    <row r="11" s="182" customFormat="1" ht="15.9" customHeight="1" spans="1:16">
      <c r="A11" s="191"/>
      <c r="B11" s="192"/>
      <c r="C11" s="192"/>
      <c r="D11" s="192"/>
      <c r="E11" s="192"/>
      <c r="F11" s="192"/>
      <c r="G11" s="193"/>
      <c r="H11" s="194"/>
      <c r="I11" s="194"/>
      <c r="J11" s="194"/>
      <c r="K11" s="194"/>
      <c r="L11" s="194"/>
      <c r="M11" s="212"/>
      <c r="N11" s="210"/>
      <c r="O11" s="210"/>
      <c r="P11" s="211"/>
    </row>
    <row r="12" s="182" customFormat="1" ht="15.9" customHeight="1" spans="1:16">
      <c r="A12" s="191"/>
      <c r="B12" s="192"/>
      <c r="C12" s="192"/>
      <c r="D12" s="192"/>
      <c r="E12" s="192"/>
      <c r="F12" s="192"/>
      <c r="G12" s="193"/>
      <c r="H12" s="194"/>
      <c r="I12" s="194"/>
      <c r="J12" s="194"/>
      <c r="K12" s="194"/>
      <c r="L12" s="194"/>
      <c r="M12" s="194"/>
      <c r="N12" s="194"/>
      <c r="O12" s="194"/>
      <c r="P12" s="213"/>
    </row>
    <row r="13" s="182" customFormat="1" ht="15.9" customHeight="1" spans="1:16">
      <c r="A13" s="195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213"/>
    </row>
    <row r="14" s="182" customFormat="1" ht="15.9" customHeight="1" spans="1:16">
      <c r="A14" s="195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213"/>
    </row>
    <row r="15" s="182" customFormat="1" ht="15.9" customHeight="1" spans="1:16">
      <c r="A15" s="195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213"/>
    </row>
    <row r="16" s="182" customFormat="1" ht="15.9" customHeight="1" spans="1:16">
      <c r="A16" s="195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213"/>
    </row>
    <row r="17" s="182" customFormat="1" ht="15.9" customHeight="1" spans="1:16">
      <c r="A17" s="195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213"/>
    </row>
    <row r="18" s="182" customFormat="1" ht="15.9" customHeight="1" spans="1:16">
      <c r="A18" s="195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213"/>
    </row>
    <row r="19" s="182" customFormat="1" ht="15.9" customHeight="1" spans="1:16">
      <c r="A19" s="195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213"/>
    </row>
    <row r="20" s="182" customFormat="1" ht="15.9" customHeight="1" spans="1:16">
      <c r="A20" s="195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213"/>
    </row>
    <row r="21" s="182" customFormat="1" ht="15.9" customHeight="1" spans="1:16">
      <c r="A21" s="195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213"/>
    </row>
    <row r="22" s="182" customFormat="1" ht="15.9" customHeight="1" spans="1:16">
      <c r="A22" s="195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213"/>
    </row>
    <row r="23" s="182" customFormat="1" ht="15.9" customHeight="1" spans="1:16">
      <c r="A23" s="195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213"/>
    </row>
    <row r="24" s="182" customFormat="1" ht="15.9" customHeight="1" spans="1:16">
      <c r="A24" s="195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213"/>
    </row>
    <row r="25" spans="1:16">
      <c r="A25" s="196" t="s">
        <v>10</v>
      </c>
      <c r="B25" s="197"/>
      <c r="C25" s="197"/>
      <c r="D25" s="197"/>
      <c r="E25" s="197"/>
      <c r="F25" s="197"/>
      <c r="G25" s="198"/>
      <c r="H25" s="189">
        <f>SUM(H6:L18)</f>
        <v>0</v>
      </c>
      <c r="I25" s="189"/>
      <c r="J25" s="189"/>
      <c r="K25" s="189"/>
      <c r="L25" s="189"/>
      <c r="M25" s="189"/>
      <c r="N25" s="189"/>
      <c r="O25" s="189"/>
      <c r="P25" s="208"/>
    </row>
    <row r="26" spans="1:16">
      <c r="A26" s="196" t="s">
        <v>11</v>
      </c>
      <c r="B26" s="197"/>
      <c r="C26" s="197"/>
      <c r="D26" s="197"/>
      <c r="E26" s="197"/>
      <c r="F26" s="197"/>
      <c r="G26" s="198"/>
      <c r="H26" s="189">
        <f>H25</f>
        <v>0</v>
      </c>
      <c r="I26" s="189"/>
      <c r="J26" s="189"/>
      <c r="K26" s="189"/>
      <c r="L26" s="189"/>
      <c r="M26" s="189"/>
      <c r="N26" s="189"/>
      <c r="O26" s="189"/>
      <c r="P26" s="208"/>
    </row>
    <row r="27" s="183" customFormat="1" ht="21.75" customHeight="1" spans="1:16">
      <c r="A27" s="199"/>
      <c r="B27" s="200"/>
      <c r="C27" s="200"/>
      <c r="D27" s="200"/>
      <c r="E27" s="200"/>
      <c r="F27" s="200"/>
      <c r="G27" s="200"/>
      <c r="H27" s="200" t="s">
        <v>12</v>
      </c>
      <c r="I27" s="200"/>
      <c r="J27" s="200"/>
      <c r="K27" s="200"/>
      <c r="L27" s="200"/>
      <c r="M27" s="200" t="s">
        <v>13</v>
      </c>
      <c r="N27" s="200"/>
      <c r="O27" s="200"/>
      <c r="P27" s="214"/>
    </row>
  </sheetData>
  <mergeCells count="77">
    <mergeCell ref="M1:P1"/>
    <mergeCell ref="M2:P2"/>
    <mergeCell ref="A3:G3"/>
    <mergeCell ref="H3:L3"/>
    <mergeCell ref="M3:P3"/>
    <mergeCell ref="A6:G6"/>
    <mergeCell ref="H6:L6"/>
    <mergeCell ref="M6:P6"/>
    <mergeCell ref="A7:G7"/>
    <mergeCell ref="H7:L7"/>
    <mergeCell ref="M7:P7"/>
    <mergeCell ref="A8:G8"/>
    <mergeCell ref="H8:L8"/>
    <mergeCell ref="M8:P8"/>
    <mergeCell ref="A9:G9"/>
    <mergeCell ref="H9:L9"/>
    <mergeCell ref="M9:P9"/>
    <mergeCell ref="A10:G10"/>
    <mergeCell ref="H10:L10"/>
    <mergeCell ref="M10:P10"/>
    <mergeCell ref="A11:G11"/>
    <mergeCell ref="H11:L11"/>
    <mergeCell ref="M11:P11"/>
    <mergeCell ref="A12:G12"/>
    <mergeCell ref="H12:L12"/>
    <mergeCell ref="M12:P12"/>
    <mergeCell ref="A13:G13"/>
    <mergeCell ref="H13:L13"/>
    <mergeCell ref="M13:P13"/>
    <mergeCell ref="A14:G14"/>
    <mergeCell ref="H14:L14"/>
    <mergeCell ref="M14:P14"/>
    <mergeCell ref="A15:G15"/>
    <mergeCell ref="H15:L15"/>
    <mergeCell ref="M15:P15"/>
    <mergeCell ref="A16:G16"/>
    <mergeCell ref="H16:L16"/>
    <mergeCell ref="M16:P16"/>
    <mergeCell ref="A17:G17"/>
    <mergeCell ref="H17:L17"/>
    <mergeCell ref="M17:P17"/>
    <mergeCell ref="A18:G18"/>
    <mergeCell ref="H18:L18"/>
    <mergeCell ref="M18:P18"/>
    <mergeCell ref="A19:G19"/>
    <mergeCell ref="H19:L19"/>
    <mergeCell ref="M19:P19"/>
    <mergeCell ref="A20:G20"/>
    <mergeCell ref="H20:L20"/>
    <mergeCell ref="M20:P20"/>
    <mergeCell ref="A21:G21"/>
    <mergeCell ref="H21:L21"/>
    <mergeCell ref="M21:P21"/>
    <mergeCell ref="A22:G22"/>
    <mergeCell ref="H22:L22"/>
    <mergeCell ref="M22:P22"/>
    <mergeCell ref="A23:G23"/>
    <mergeCell ref="H23:L23"/>
    <mergeCell ref="M23:P23"/>
    <mergeCell ref="A24:G24"/>
    <mergeCell ref="H24:L24"/>
    <mergeCell ref="M24:P24"/>
    <mergeCell ref="A25:G25"/>
    <mergeCell ref="H25:L25"/>
    <mergeCell ref="M25:P25"/>
    <mergeCell ref="A26:G26"/>
    <mergeCell ref="H26:L26"/>
    <mergeCell ref="M26:P26"/>
    <mergeCell ref="A27:G27"/>
    <mergeCell ref="H27:L27"/>
    <mergeCell ref="M27:P27"/>
    <mergeCell ref="A1:D2"/>
    <mergeCell ref="E1:H2"/>
    <mergeCell ref="I1:L2"/>
    <mergeCell ref="A4:G5"/>
    <mergeCell ref="H4:L5"/>
    <mergeCell ref="M4:P5"/>
  </mergeCells>
  <printOptions horizontalCentered="1"/>
  <pageMargins left="0.551181102362205" right="0.551181102362205" top="0.78740157480315" bottom="0.590551181102362" header="0.511811023622047" footer="0.511811023622047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R154"/>
  <sheetViews>
    <sheetView topLeftCell="A133" workbookViewId="0">
      <selection activeCell="B147" sqref="B147"/>
    </sheetView>
  </sheetViews>
  <sheetFormatPr defaultColWidth="8" defaultRowHeight="13.2"/>
  <cols>
    <col min="1" max="1" width="12.9" style="12" customWidth="1"/>
    <col min="2" max="2" width="15.7" style="12" customWidth="1"/>
    <col min="3" max="3" width="25.6" style="12" customWidth="1"/>
    <col min="4" max="4" width="19.1" style="24" customWidth="1"/>
    <col min="5" max="5" width="21.9" style="24" customWidth="1"/>
    <col min="6" max="6" width="15.9" style="12" customWidth="1"/>
    <col min="7" max="7" width="32.7" style="98" customWidth="1"/>
    <col min="8" max="8" width="14" style="12" customWidth="1"/>
    <col min="9" max="9" width="9" style="140" customWidth="1"/>
    <col min="10" max="10" width="11" style="12" customWidth="1"/>
    <col min="11" max="11" width="19.2" style="12" customWidth="1"/>
    <col min="12" max="12" width="15.1" style="12" customWidth="1"/>
    <col min="13" max="13" width="17" style="12" customWidth="1"/>
    <col min="14" max="14" width="10.6" style="24" customWidth="1"/>
    <col min="15" max="15" width="12.5" style="24" customWidth="1"/>
    <col min="16" max="16" width="14.5" style="12" customWidth="1"/>
    <col min="17" max="17" width="5" style="12" customWidth="1"/>
    <col min="18" max="18" width="9.9" style="12" customWidth="1"/>
    <col min="19" max="16384" width="8" style="12"/>
  </cols>
  <sheetData>
    <row r="1" ht="39.75" customHeight="1" spans="1:11">
      <c r="A1" s="17" t="s">
        <v>58</v>
      </c>
      <c r="B1" s="17"/>
      <c r="C1" s="17"/>
      <c r="D1" s="17"/>
      <c r="E1" s="17"/>
      <c r="F1" s="17"/>
      <c r="G1" s="17"/>
      <c r="H1" s="113"/>
      <c r="I1" s="113"/>
      <c r="J1" s="113"/>
      <c r="K1" s="113"/>
    </row>
    <row r="2" ht="20.25" customHeight="1" spans="1:7">
      <c r="A2" s="18" t="s">
        <v>15</v>
      </c>
      <c r="B2" s="19" t="s">
        <v>59</v>
      </c>
      <c r="C2" s="19"/>
      <c r="D2" s="21" t="s">
        <v>60</v>
      </c>
      <c r="E2" s="21"/>
      <c r="F2" s="20"/>
      <c r="G2" s="101"/>
    </row>
    <row r="3" ht="19.5" customHeight="1" spans="1:7">
      <c r="A3" s="19" t="s">
        <v>17</v>
      </c>
      <c r="B3" s="102" t="s">
        <v>122</v>
      </c>
      <c r="C3" s="20"/>
      <c r="D3" s="21"/>
      <c r="E3" s="21"/>
      <c r="F3" s="20"/>
      <c r="G3" s="103"/>
    </row>
    <row r="4" ht="21" customHeight="1" spans="1:3">
      <c r="A4" s="19"/>
      <c r="B4" s="23"/>
      <c r="C4" s="23"/>
    </row>
    <row r="5" s="13" customFormat="1" ht="22.5" customHeight="1" spans="1:16">
      <c r="A5" s="27" t="s">
        <v>64</v>
      </c>
      <c r="B5" s="28" t="s">
        <v>20</v>
      </c>
      <c r="C5" s="29" t="s">
        <v>123</v>
      </c>
      <c r="D5" s="30" t="s">
        <v>124</v>
      </c>
      <c r="E5" s="31" t="s">
        <v>125</v>
      </c>
      <c r="F5" s="30" t="s">
        <v>67</v>
      </c>
      <c r="G5" s="104" t="s">
        <v>33</v>
      </c>
      <c r="H5" s="30" t="s">
        <v>35</v>
      </c>
      <c r="I5" s="30" t="s">
        <v>36</v>
      </c>
      <c r="J5" s="30" t="s">
        <v>37</v>
      </c>
      <c r="K5" s="30" t="s">
        <v>38</v>
      </c>
      <c r="L5" s="117" t="s">
        <v>38</v>
      </c>
      <c r="M5" s="147"/>
      <c r="N5" s="147"/>
      <c r="O5" s="147"/>
      <c r="P5" s="148"/>
    </row>
    <row r="6" s="13" customFormat="1" ht="36.75" customHeight="1" spans="1:16">
      <c r="A6" s="32"/>
      <c r="B6" s="33"/>
      <c r="C6" s="34"/>
      <c r="D6" s="35"/>
      <c r="E6" s="36"/>
      <c r="F6" s="35"/>
      <c r="G6" s="105"/>
      <c r="H6" s="35"/>
      <c r="I6" s="35"/>
      <c r="J6" s="35"/>
      <c r="K6" s="35"/>
      <c r="L6" s="149" t="s">
        <v>39</v>
      </c>
      <c r="M6" s="150" t="s">
        <v>40</v>
      </c>
      <c r="N6" s="150" t="s">
        <v>41</v>
      </c>
      <c r="O6" s="150" t="s">
        <v>68</v>
      </c>
      <c r="P6" s="151" t="s">
        <v>42</v>
      </c>
    </row>
    <row r="7" ht="17.25" customHeight="1" spans="1:18">
      <c r="A7" s="45">
        <v>4560050973</v>
      </c>
      <c r="B7" s="141" t="s">
        <v>69</v>
      </c>
      <c r="C7" s="142" t="s">
        <v>126</v>
      </c>
      <c r="D7" s="143">
        <v>1</v>
      </c>
      <c r="E7" s="49">
        <v>160</v>
      </c>
      <c r="F7" s="50" t="e">
        <f t="shared" ref="F7:F33" si="0">#N/A</f>
        <v>#N/A</v>
      </c>
      <c r="G7" s="144" t="s">
        <v>127</v>
      </c>
      <c r="H7" s="145" t="s">
        <v>73</v>
      </c>
      <c r="I7" s="152" t="s">
        <v>128</v>
      </c>
      <c r="J7" s="153">
        <v>42460</v>
      </c>
      <c r="K7" s="154"/>
      <c r="L7" s="155">
        <v>42461</v>
      </c>
      <c r="M7" s="156">
        <v>42460</v>
      </c>
      <c r="N7" s="157"/>
      <c r="O7" s="157"/>
      <c r="P7" s="158">
        <v>42464</v>
      </c>
      <c r="R7" s="160"/>
    </row>
    <row r="8" ht="17.25" customHeight="1" spans="1:18">
      <c r="A8" s="45">
        <v>4560050974</v>
      </c>
      <c r="B8" s="141" t="s">
        <v>69</v>
      </c>
      <c r="C8" s="142" t="s">
        <v>126</v>
      </c>
      <c r="D8" s="143">
        <v>1</v>
      </c>
      <c r="E8" s="49">
        <v>160</v>
      </c>
      <c r="F8" s="50" t="e">
        <f t="shared" si="0"/>
        <v>#N/A</v>
      </c>
      <c r="G8" s="144" t="s">
        <v>129</v>
      </c>
      <c r="H8" s="145" t="s">
        <v>73</v>
      </c>
      <c r="I8" s="152" t="s">
        <v>128</v>
      </c>
      <c r="J8" s="153">
        <v>42460</v>
      </c>
      <c r="K8" s="154"/>
      <c r="L8" s="155">
        <v>42461</v>
      </c>
      <c r="M8" s="156">
        <v>42460</v>
      </c>
      <c r="N8" s="157"/>
      <c r="O8" s="157"/>
      <c r="P8" s="158">
        <v>42464</v>
      </c>
      <c r="R8" s="160"/>
    </row>
    <row r="9" ht="17.25" customHeight="1" spans="1:18">
      <c r="A9" s="45">
        <v>4560050975</v>
      </c>
      <c r="B9" s="141" t="s">
        <v>69</v>
      </c>
      <c r="C9" s="142" t="s">
        <v>126</v>
      </c>
      <c r="D9" s="143">
        <v>1</v>
      </c>
      <c r="E9" s="49">
        <v>160</v>
      </c>
      <c r="F9" s="50" t="e">
        <f t="shared" si="0"/>
        <v>#N/A</v>
      </c>
      <c r="G9" s="144" t="s">
        <v>130</v>
      </c>
      <c r="H9" s="145" t="s">
        <v>73</v>
      </c>
      <c r="I9" s="152" t="s">
        <v>128</v>
      </c>
      <c r="J9" s="153">
        <v>42460</v>
      </c>
      <c r="K9" s="154"/>
      <c r="L9" s="155">
        <v>42461</v>
      </c>
      <c r="M9" s="156">
        <v>42460</v>
      </c>
      <c r="N9" s="157"/>
      <c r="O9" s="157"/>
      <c r="P9" s="158">
        <v>42464</v>
      </c>
      <c r="R9" s="160"/>
    </row>
    <row r="10" ht="17.25" customHeight="1" spans="1:18">
      <c r="A10" s="45">
        <v>4560050976</v>
      </c>
      <c r="B10" s="141" t="s">
        <v>69</v>
      </c>
      <c r="C10" s="142" t="s">
        <v>65</v>
      </c>
      <c r="D10" s="143">
        <v>1</v>
      </c>
      <c r="E10" s="49">
        <v>203</v>
      </c>
      <c r="F10" s="50" t="e">
        <f t="shared" si="0"/>
        <v>#N/A</v>
      </c>
      <c r="G10" s="144" t="s">
        <v>131</v>
      </c>
      <c r="H10" s="145" t="s">
        <v>73</v>
      </c>
      <c r="I10" s="152" t="s">
        <v>128</v>
      </c>
      <c r="J10" s="153">
        <v>42460</v>
      </c>
      <c r="K10" s="154"/>
      <c r="L10" s="155">
        <v>42461</v>
      </c>
      <c r="M10" s="156">
        <v>42460</v>
      </c>
      <c r="N10" s="157"/>
      <c r="O10" s="157"/>
      <c r="P10" s="158">
        <v>42464</v>
      </c>
      <c r="R10" s="160"/>
    </row>
    <row r="11" ht="17.25" customHeight="1" spans="1:18">
      <c r="A11" s="45">
        <v>4560050977</v>
      </c>
      <c r="B11" s="141" t="s">
        <v>81</v>
      </c>
      <c r="C11" s="142" t="s">
        <v>65</v>
      </c>
      <c r="D11" s="143">
        <v>1</v>
      </c>
      <c r="E11" s="49">
        <v>203</v>
      </c>
      <c r="F11" s="50" t="e">
        <f t="shared" si="0"/>
        <v>#N/A</v>
      </c>
      <c r="G11" s="144" t="s">
        <v>131</v>
      </c>
      <c r="H11" s="145" t="s">
        <v>73</v>
      </c>
      <c r="I11" s="152" t="s">
        <v>128</v>
      </c>
      <c r="J11" s="153">
        <v>42460</v>
      </c>
      <c r="K11" s="154"/>
      <c r="L11" s="155">
        <v>42461</v>
      </c>
      <c r="M11" s="156">
        <v>42460</v>
      </c>
      <c r="N11" s="157"/>
      <c r="O11" s="157"/>
      <c r="P11" s="158">
        <v>42464</v>
      </c>
      <c r="R11" s="160"/>
    </row>
    <row r="12" ht="17.25" customHeight="1" spans="1:18">
      <c r="A12" s="45">
        <v>4560050978</v>
      </c>
      <c r="B12" s="141" t="s">
        <v>76</v>
      </c>
      <c r="C12" s="142" t="s">
        <v>65</v>
      </c>
      <c r="D12" s="143">
        <v>1</v>
      </c>
      <c r="E12" s="49">
        <v>203</v>
      </c>
      <c r="F12" s="50" t="e">
        <f t="shared" si="0"/>
        <v>#N/A</v>
      </c>
      <c r="G12" s="144" t="s">
        <v>131</v>
      </c>
      <c r="H12" s="146" t="s">
        <v>48</v>
      </c>
      <c r="I12" s="152" t="s">
        <v>128</v>
      </c>
      <c r="J12" s="153">
        <v>42460</v>
      </c>
      <c r="K12" s="154" t="s">
        <v>88</v>
      </c>
      <c r="L12" s="155">
        <v>42461</v>
      </c>
      <c r="M12" s="156">
        <v>42460</v>
      </c>
      <c r="N12" s="540" t="s">
        <v>132</v>
      </c>
      <c r="O12" s="540" t="s">
        <v>133</v>
      </c>
      <c r="P12" s="158"/>
      <c r="R12" s="160"/>
    </row>
    <row r="13" ht="17.25" customHeight="1" spans="1:18">
      <c r="A13" s="45">
        <v>4560050979</v>
      </c>
      <c r="B13" s="141" t="s">
        <v>69</v>
      </c>
      <c r="C13" s="142" t="s">
        <v>134</v>
      </c>
      <c r="D13" s="143">
        <v>1</v>
      </c>
      <c r="E13" s="49">
        <v>800</v>
      </c>
      <c r="F13" s="50" t="e">
        <f t="shared" si="0"/>
        <v>#N/A</v>
      </c>
      <c r="G13" s="144" t="s">
        <v>135</v>
      </c>
      <c r="H13" s="146" t="s">
        <v>48</v>
      </c>
      <c r="I13" s="152" t="s">
        <v>70</v>
      </c>
      <c r="J13" s="153">
        <v>42462</v>
      </c>
      <c r="K13" s="154" t="s">
        <v>88</v>
      </c>
      <c r="L13" s="155">
        <v>42463</v>
      </c>
      <c r="M13" s="156">
        <v>42462</v>
      </c>
      <c r="N13" s="540" t="s">
        <v>136</v>
      </c>
      <c r="O13" s="157">
        <v>538779</v>
      </c>
      <c r="P13" s="158"/>
      <c r="R13" s="160"/>
    </row>
    <row r="14" ht="17.25" customHeight="1" spans="1:18">
      <c r="A14" s="45">
        <v>4560050980</v>
      </c>
      <c r="B14" s="141" t="s">
        <v>69</v>
      </c>
      <c r="C14" s="142" t="s">
        <v>126</v>
      </c>
      <c r="D14" s="143">
        <v>1</v>
      </c>
      <c r="E14" s="49">
        <v>160</v>
      </c>
      <c r="F14" s="50" t="e">
        <f t="shared" si="0"/>
        <v>#N/A</v>
      </c>
      <c r="G14" s="144" t="s">
        <v>137</v>
      </c>
      <c r="H14" s="146" t="s">
        <v>48</v>
      </c>
      <c r="I14" s="152" t="s">
        <v>70</v>
      </c>
      <c r="J14" s="153">
        <v>42462</v>
      </c>
      <c r="K14" s="154" t="s">
        <v>88</v>
      </c>
      <c r="L14" s="155">
        <v>42463</v>
      </c>
      <c r="M14" s="156">
        <v>42462</v>
      </c>
      <c r="N14" s="540" t="s">
        <v>136</v>
      </c>
      <c r="O14" s="541" t="s">
        <v>138</v>
      </c>
      <c r="P14" s="158"/>
      <c r="R14" s="160"/>
    </row>
    <row r="15" ht="17.25" customHeight="1" spans="1:18">
      <c r="A15" s="45">
        <v>4560050981</v>
      </c>
      <c r="B15" s="141" t="s">
        <v>69</v>
      </c>
      <c r="C15" s="142" t="s">
        <v>126</v>
      </c>
      <c r="D15" s="143">
        <v>1</v>
      </c>
      <c r="E15" s="49">
        <v>160</v>
      </c>
      <c r="F15" s="50" t="e">
        <f t="shared" si="0"/>
        <v>#N/A</v>
      </c>
      <c r="G15" s="144" t="s">
        <v>139</v>
      </c>
      <c r="H15" s="146" t="s">
        <v>48</v>
      </c>
      <c r="I15" s="152" t="s">
        <v>70</v>
      </c>
      <c r="J15" s="153">
        <v>42462</v>
      </c>
      <c r="K15" s="154" t="s">
        <v>88</v>
      </c>
      <c r="L15" s="155">
        <v>42463</v>
      </c>
      <c r="M15" s="156">
        <v>42462</v>
      </c>
      <c r="N15" s="540" t="s">
        <v>136</v>
      </c>
      <c r="O15" s="541" t="s">
        <v>138</v>
      </c>
      <c r="P15" s="158"/>
      <c r="R15" s="160"/>
    </row>
    <row r="16" ht="17.25" customHeight="1" spans="1:18">
      <c r="A16" s="45">
        <v>4560050982</v>
      </c>
      <c r="B16" s="141" t="s">
        <v>140</v>
      </c>
      <c r="C16" s="142" t="s">
        <v>65</v>
      </c>
      <c r="D16" s="143">
        <v>1</v>
      </c>
      <c r="E16" s="49">
        <v>201</v>
      </c>
      <c r="F16" s="50" t="e">
        <f t="shared" si="0"/>
        <v>#N/A</v>
      </c>
      <c r="G16" s="144" t="s">
        <v>141</v>
      </c>
      <c r="H16" s="146" t="s">
        <v>82</v>
      </c>
      <c r="I16" s="152" t="s">
        <v>128</v>
      </c>
      <c r="J16" s="153">
        <v>42462</v>
      </c>
      <c r="K16" s="154" t="s">
        <v>88</v>
      </c>
      <c r="L16" s="155">
        <v>42463</v>
      </c>
      <c r="M16" s="156">
        <v>42462</v>
      </c>
      <c r="N16" s="540" t="s">
        <v>136</v>
      </c>
      <c r="O16" s="157">
        <v>387599</v>
      </c>
      <c r="P16" s="158"/>
      <c r="R16" s="160"/>
    </row>
    <row r="17" ht="17.25" customHeight="1" spans="1:18">
      <c r="A17" s="45">
        <v>4560050983</v>
      </c>
      <c r="B17" s="141" t="s">
        <v>142</v>
      </c>
      <c r="C17" s="142" t="s">
        <v>65</v>
      </c>
      <c r="D17" s="143">
        <v>2</v>
      </c>
      <c r="E17" s="49">
        <v>201</v>
      </c>
      <c r="F17" s="50" t="e">
        <f t="shared" si="0"/>
        <v>#N/A</v>
      </c>
      <c r="G17" s="144" t="s">
        <v>141</v>
      </c>
      <c r="H17" s="145" t="s">
        <v>73</v>
      </c>
      <c r="I17" s="152" t="s">
        <v>143</v>
      </c>
      <c r="J17" s="153">
        <v>42463</v>
      </c>
      <c r="K17" s="154"/>
      <c r="L17" s="155">
        <v>42463</v>
      </c>
      <c r="M17" s="156">
        <v>42463</v>
      </c>
      <c r="N17" s="157"/>
      <c r="O17" s="157"/>
      <c r="P17" s="158">
        <v>42464</v>
      </c>
      <c r="R17" s="160"/>
    </row>
    <row r="18" ht="17.25" customHeight="1" spans="1:18">
      <c r="A18" s="45">
        <v>4560050984</v>
      </c>
      <c r="B18" s="141" t="s">
        <v>144</v>
      </c>
      <c r="C18" s="142" t="s">
        <v>65</v>
      </c>
      <c r="D18" s="143">
        <v>1</v>
      </c>
      <c r="E18" s="49">
        <v>201</v>
      </c>
      <c r="F18" s="50" t="e">
        <f t="shared" si="0"/>
        <v>#N/A</v>
      </c>
      <c r="G18" s="144" t="s">
        <v>141</v>
      </c>
      <c r="H18" s="145" t="s">
        <v>73</v>
      </c>
      <c r="I18" s="152" t="s">
        <v>143</v>
      </c>
      <c r="J18" s="153">
        <v>42463</v>
      </c>
      <c r="K18" s="154"/>
      <c r="L18" s="155">
        <v>42463</v>
      </c>
      <c r="M18" s="156">
        <v>42463</v>
      </c>
      <c r="N18" s="157"/>
      <c r="O18" s="157"/>
      <c r="P18" s="158">
        <v>42464</v>
      </c>
      <c r="R18" s="160"/>
    </row>
    <row r="19" ht="17.25" customHeight="1" spans="1:18">
      <c r="A19" s="45">
        <v>4560050986</v>
      </c>
      <c r="B19" s="141" t="s">
        <v>69</v>
      </c>
      <c r="C19" s="142" t="s">
        <v>126</v>
      </c>
      <c r="D19" s="143">
        <v>1</v>
      </c>
      <c r="E19" s="49">
        <v>160</v>
      </c>
      <c r="F19" s="50" t="e">
        <f t="shared" si="0"/>
        <v>#N/A</v>
      </c>
      <c r="G19" s="144" t="s">
        <v>139</v>
      </c>
      <c r="H19" s="146" t="s">
        <v>48</v>
      </c>
      <c r="I19" s="152" t="s">
        <v>128</v>
      </c>
      <c r="J19" s="153">
        <v>42465</v>
      </c>
      <c r="K19" s="154" t="s">
        <v>88</v>
      </c>
      <c r="L19" s="155">
        <v>42469</v>
      </c>
      <c r="M19" s="156">
        <v>42465</v>
      </c>
      <c r="N19" s="157">
        <v>178</v>
      </c>
      <c r="O19" s="540" t="s">
        <v>145</v>
      </c>
      <c r="P19" s="158"/>
      <c r="R19" s="160"/>
    </row>
    <row r="20" ht="17.25" customHeight="1" spans="1:18">
      <c r="A20" s="45">
        <v>4560050987</v>
      </c>
      <c r="B20" s="141" t="s">
        <v>69</v>
      </c>
      <c r="C20" s="142" t="s">
        <v>126</v>
      </c>
      <c r="D20" s="143">
        <v>1</v>
      </c>
      <c r="E20" s="49">
        <v>160</v>
      </c>
      <c r="F20" s="50" t="e">
        <f t="shared" si="0"/>
        <v>#N/A</v>
      </c>
      <c r="G20" s="144" t="s">
        <v>130</v>
      </c>
      <c r="H20" s="146" t="s">
        <v>48</v>
      </c>
      <c r="I20" s="152" t="s">
        <v>128</v>
      </c>
      <c r="J20" s="153">
        <v>42465</v>
      </c>
      <c r="K20" s="154" t="s">
        <v>88</v>
      </c>
      <c r="L20" s="155">
        <v>42469</v>
      </c>
      <c r="M20" s="156">
        <v>42465</v>
      </c>
      <c r="N20" s="157">
        <v>178</v>
      </c>
      <c r="O20" s="540" t="s">
        <v>146</v>
      </c>
      <c r="P20" s="158"/>
      <c r="R20" s="160"/>
    </row>
    <row r="21" ht="17.25" customHeight="1" spans="1:18">
      <c r="A21" s="45">
        <v>4560050988</v>
      </c>
      <c r="B21" s="141" t="s">
        <v>69</v>
      </c>
      <c r="C21" s="142" t="s">
        <v>126</v>
      </c>
      <c r="D21" s="143">
        <v>1</v>
      </c>
      <c r="E21" s="49">
        <v>160</v>
      </c>
      <c r="F21" s="50" t="e">
        <f t="shared" si="0"/>
        <v>#N/A</v>
      </c>
      <c r="G21" s="144" t="s">
        <v>127</v>
      </c>
      <c r="H21" s="146" t="s">
        <v>82</v>
      </c>
      <c r="I21" s="152" t="s">
        <v>128</v>
      </c>
      <c r="J21" s="153">
        <v>42465</v>
      </c>
      <c r="K21" s="154" t="s">
        <v>88</v>
      </c>
      <c r="L21" s="155">
        <v>42469</v>
      </c>
      <c r="M21" s="156">
        <v>42465</v>
      </c>
      <c r="N21" s="157">
        <v>178</v>
      </c>
      <c r="O21" s="157" t="s">
        <v>147</v>
      </c>
      <c r="P21" s="158"/>
      <c r="R21" s="160"/>
    </row>
    <row r="22" ht="17.25" customHeight="1" spans="1:18">
      <c r="A22" s="45">
        <v>4560050989</v>
      </c>
      <c r="B22" s="141" t="s">
        <v>75</v>
      </c>
      <c r="C22" s="142" t="s">
        <v>65</v>
      </c>
      <c r="D22" s="143">
        <v>1</v>
      </c>
      <c r="E22" s="49">
        <v>201</v>
      </c>
      <c r="F22" s="50" t="e">
        <f t="shared" si="0"/>
        <v>#N/A</v>
      </c>
      <c r="G22" s="144" t="s">
        <v>141</v>
      </c>
      <c r="H22" s="146" t="s">
        <v>82</v>
      </c>
      <c r="I22" s="152" t="s">
        <v>128</v>
      </c>
      <c r="J22" s="153">
        <v>42465</v>
      </c>
      <c r="K22" s="154" t="s">
        <v>88</v>
      </c>
      <c r="L22" s="155">
        <v>42469</v>
      </c>
      <c r="M22" s="156">
        <v>42465</v>
      </c>
      <c r="N22" s="157">
        <v>178</v>
      </c>
      <c r="O22" s="540" t="s">
        <v>148</v>
      </c>
      <c r="P22" s="158"/>
      <c r="R22" s="160"/>
    </row>
    <row r="23" ht="17.25" customHeight="1" spans="1:18">
      <c r="A23" s="45">
        <v>4560050990</v>
      </c>
      <c r="B23" s="141" t="s">
        <v>149</v>
      </c>
      <c r="C23" s="142" t="s">
        <v>65</v>
      </c>
      <c r="D23" s="143">
        <v>1</v>
      </c>
      <c r="E23" s="49">
        <v>402</v>
      </c>
      <c r="F23" s="50" t="e">
        <f t="shared" si="0"/>
        <v>#N/A</v>
      </c>
      <c r="G23" s="144" t="s">
        <v>150</v>
      </c>
      <c r="H23" s="146" t="s">
        <v>151</v>
      </c>
      <c r="I23" s="152" t="s">
        <v>128</v>
      </c>
      <c r="J23" s="153">
        <v>42465</v>
      </c>
      <c r="K23" s="154" t="s">
        <v>88</v>
      </c>
      <c r="L23" s="155">
        <v>42469</v>
      </c>
      <c r="M23" s="156">
        <v>42465</v>
      </c>
      <c r="N23" s="157">
        <v>178</v>
      </c>
      <c r="O23" s="540" t="s">
        <v>152</v>
      </c>
      <c r="P23" s="158"/>
      <c r="R23" s="160"/>
    </row>
    <row r="24" ht="17.25" customHeight="1" spans="1:18">
      <c r="A24" s="45">
        <v>4560050991</v>
      </c>
      <c r="B24" s="141" t="s">
        <v>69</v>
      </c>
      <c r="C24" s="142" t="s">
        <v>126</v>
      </c>
      <c r="D24" s="143">
        <v>1</v>
      </c>
      <c r="E24" s="49">
        <v>160</v>
      </c>
      <c r="F24" s="50" t="e">
        <f t="shared" si="0"/>
        <v>#N/A</v>
      </c>
      <c r="G24" s="144" t="s">
        <v>153</v>
      </c>
      <c r="H24" s="146" t="s">
        <v>151</v>
      </c>
      <c r="I24" s="152" t="s">
        <v>143</v>
      </c>
      <c r="J24" s="153">
        <v>42466</v>
      </c>
      <c r="K24" s="154" t="s">
        <v>88</v>
      </c>
      <c r="L24" s="155">
        <v>42469</v>
      </c>
      <c r="M24" s="156">
        <v>42466</v>
      </c>
      <c r="N24" s="157">
        <v>179</v>
      </c>
      <c r="O24" s="157">
        <v>159293</v>
      </c>
      <c r="P24" s="158"/>
      <c r="R24" s="160"/>
    </row>
    <row r="25" ht="17.25" customHeight="1" spans="1:18">
      <c r="A25" s="45">
        <v>4560050992</v>
      </c>
      <c r="B25" s="141" t="s">
        <v>69</v>
      </c>
      <c r="C25" s="142" t="s">
        <v>65</v>
      </c>
      <c r="D25" s="143">
        <v>1</v>
      </c>
      <c r="E25" s="49">
        <v>202</v>
      </c>
      <c r="F25" s="50" t="e">
        <f t="shared" si="0"/>
        <v>#N/A</v>
      </c>
      <c r="G25" s="144" t="s">
        <v>154</v>
      </c>
      <c r="H25" s="146" t="s">
        <v>82</v>
      </c>
      <c r="I25" s="152" t="s">
        <v>143</v>
      </c>
      <c r="J25" s="153">
        <v>42466</v>
      </c>
      <c r="K25" s="154" t="s">
        <v>88</v>
      </c>
      <c r="L25" s="155">
        <v>42469</v>
      </c>
      <c r="M25" s="156">
        <v>42466</v>
      </c>
      <c r="N25" s="157">
        <v>179</v>
      </c>
      <c r="O25" s="157">
        <v>265926</v>
      </c>
      <c r="P25" s="158"/>
      <c r="R25" s="160"/>
    </row>
    <row r="26" ht="17.25" customHeight="1" spans="1:18">
      <c r="A26" s="45">
        <v>4560050993</v>
      </c>
      <c r="B26" s="141" t="s">
        <v>76</v>
      </c>
      <c r="C26" s="142" t="s">
        <v>65</v>
      </c>
      <c r="D26" s="143">
        <v>1</v>
      </c>
      <c r="E26" s="49">
        <v>202</v>
      </c>
      <c r="F26" s="50" t="e">
        <f t="shared" si="0"/>
        <v>#N/A</v>
      </c>
      <c r="G26" s="144" t="s">
        <v>154</v>
      </c>
      <c r="H26" s="146" t="s">
        <v>82</v>
      </c>
      <c r="I26" s="152" t="s">
        <v>143</v>
      </c>
      <c r="J26" s="153">
        <v>42466</v>
      </c>
      <c r="K26" s="154" t="s">
        <v>88</v>
      </c>
      <c r="L26" s="155">
        <v>42469</v>
      </c>
      <c r="M26" s="156">
        <v>42466</v>
      </c>
      <c r="N26" s="157">
        <v>179</v>
      </c>
      <c r="O26" s="157" t="s">
        <v>155</v>
      </c>
      <c r="P26" s="158"/>
      <c r="R26" s="160"/>
    </row>
    <row r="27" ht="17.25" customHeight="1" spans="1:18">
      <c r="A27" s="45">
        <v>4560050994</v>
      </c>
      <c r="B27" s="141" t="s">
        <v>156</v>
      </c>
      <c r="C27" s="142" t="s">
        <v>65</v>
      </c>
      <c r="D27" s="143">
        <v>1</v>
      </c>
      <c r="E27" s="49">
        <v>202</v>
      </c>
      <c r="F27" s="50" t="e">
        <f t="shared" si="0"/>
        <v>#N/A</v>
      </c>
      <c r="G27" s="144" t="s">
        <v>154</v>
      </c>
      <c r="H27" s="145" t="s">
        <v>73</v>
      </c>
      <c r="I27" s="152" t="s">
        <v>143</v>
      </c>
      <c r="J27" s="153">
        <v>42466</v>
      </c>
      <c r="K27" s="154"/>
      <c r="L27" s="155">
        <v>42469</v>
      </c>
      <c r="M27" s="156">
        <v>42466</v>
      </c>
      <c r="N27" s="157"/>
      <c r="O27" s="157"/>
      <c r="P27" s="158">
        <v>42471</v>
      </c>
      <c r="R27" s="160"/>
    </row>
    <row r="28" ht="17.25" customHeight="1" spans="1:18">
      <c r="A28" s="45">
        <v>4560050995</v>
      </c>
      <c r="B28" s="141" t="s">
        <v>69</v>
      </c>
      <c r="C28" s="142" t="s">
        <v>134</v>
      </c>
      <c r="D28" s="143">
        <v>1</v>
      </c>
      <c r="E28" s="49">
        <v>800</v>
      </c>
      <c r="F28" s="50" t="e">
        <f t="shared" si="0"/>
        <v>#N/A</v>
      </c>
      <c r="G28" s="144" t="s">
        <v>157</v>
      </c>
      <c r="H28" s="146" t="s">
        <v>48</v>
      </c>
      <c r="I28" s="152" t="s">
        <v>143</v>
      </c>
      <c r="J28" s="153">
        <v>42466</v>
      </c>
      <c r="K28" s="154" t="s">
        <v>88</v>
      </c>
      <c r="L28" s="155">
        <v>42469</v>
      </c>
      <c r="M28" s="156">
        <v>42466</v>
      </c>
      <c r="N28" s="157">
        <v>179</v>
      </c>
      <c r="O28" s="540" t="s">
        <v>158</v>
      </c>
      <c r="P28" s="158"/>
      <c r="R28" s="160"/>
    </row>
    <row r="29" ht="17.25" customHeight="1" spans="1:18">
      <c r="A29" s="45">
        <v>4560050996</v>
      </c>
      <c r="B29" s="141" t="s">
        <v>75</v>
      </c>
      <c r="C29" s="142" t="s">
        <v>65</v>
      </c>
      <c r="D29" s="143">
        <v>1</v>
      </c>
      <c r="E29" s="49">
        <v>202</v>
      </c>
      <c r="F29" s="50" t="e">
        <f t="shared" si="0"/>
        <v>#N/A</v>
      </c>
      <c r="G29" s="144" t="s">
        <v>154</v>
      </c>
      <c r="H29" s="145" t="s">
        <v>73</v>
      </c>
      <c r="I29" s="152" t="s">
        <v>143</v>
      </c>
      <c r="J29" s="153">
        <v>42466</v>
      </c>
      <c r="K29" s="154"/>
      <c r="L29" s="155">
        <v>42469</v>
      </c>
      <c r="M29" s="156">
        <v>42466</v>
      </c>
      <c r="N29" s="157"/>
      <c r="O29" s="157"/>
      <c r="P29" s="158">
        <v>42471</v>
      </c>
      <c r="R29" s="160"/>
    </row>
    <row r="30" ht="17.25" customHeight="1" spans="1:18">
      <c r="A30" s="45">
        <v>4560050997</v>
      </c>
      <c r="B30" s="141" t="s">
        <v>76</v>
      </c>
      <c r="C30" s="142" t="s">
        <v>65</v>
      </c>
      <c r="D30" s="143">
        <v>1</v>
      </c>
      <c r="E30" s="49">
        <v>203</v>
      </c>
      <c r="F30" s="50" t="e">
        <f t="shared" si="0"/>
        <v>#N/A</v>
      </c>
      <c r="G30" s="144" t="s">
        <v>159</v>
      </c>
      <c r="H30" s="146" t="s">
        <v>48</v>
      </c>
      <c r="I30" s="152" t="s">
        <v>143</v>
      </c>
      <c r="J30" s="153">
        <v>42467</v>
      </c>
      <c r="K30" s="154" t="s">
        <v>88</v>
      </c>
      <c r="L30" s="155">
        <v>42469</v>
      </c>
      <c r="M30" s="156">
        <v>42467</v>
      </c>
      <c r="N30" s="540" t="s">
        <v>160</v>
      </c>
      <c r="O30" s="540" t="s">
        <v>161</v>
      </c>
      <c r="P30" s="158"/>
      <c r="R30" s="160"/>
    </row>
    <row r="31" ht="17.25" customHeight="1" spans="1:18">
      <c r="A31" s="45">
        <v>4560050998</v>
      </c>
      <c r="B31" s="141" t="s">
        <v>75</v>
      </c>
      <c r="C31" s="142" t="s">
        <v>65</v>
      </c>
      <c r="D31" s="143">
        <v>1</v>
      </c>
      <c r="E31" s="49">
        <v>203</v>
      </c>
      <c r="F31" s="50" t="e">
        <f t="shared" si="0"/>
        <v>#N/A</v>
      </c>
      <c r="G31" s="144" t="s">
        <v>159</v>
      </c>
      <c r="H31" s="146" t="s">
        <v>48</v>
      </c>
      <c r="I31" s="152" t="s">
        <v>143</v>
      </c>
      <c r="J31" s="153">
        <v>42468</v>
      </c>
      <c r="K31" s="154" t="s">
        <v>88</v>
      </c>
      <c r="L31" s="155">
        <v>42469</v>
      </c>
      <c r="M31" s="156">
        <v>42468</v>
      </c>
      <c r="N31" s="540" t="s">
        <v>162</v>
      </c>
      <c r="O31" s="540" t="s">
        <v>163</v>
      </c>
      <c r="P31" s="158"/>
      <c r="R31" s="160"/>
    </row>
    <row r="32" ht="17.25" customHeight="1" spans="1:18">
      <c r="A32" s="45">
        <v>4560050999</v>
      </c>
      <c r="B32" s="141" t="s">
        <v>76</v>
      </c>
      <c r="C32" s="142" t="s">
        <v>65</v>
      </c>
      <c r="D32" s="143">
        <v>1</v>
      </c>
      <c r="E32" s="49">
        <v>203</v>
      </c>
      <c r="F32" s="50" t="e">
        <f t="shared" si="0"/>
        <v>#N/A</v>
      </c>
      <c r="G32" s="144" t="s">
        <v>159</v>
      </c>
      <c r="H32" s="145" t="s">
        <v>73</v>
      </c>
      <c r="I32" s="152" t="s">
        <v>143</v>
      </c>
      <c r="J32" s="153">
        <v>42468</v>
      </c>
      <c r="K32" s="154"/>
      <c r="L32" s="155">
        <v>42469</v>
      </c>
      <c r="M32" s="156">
        <v>42468</v>
      </c>
      <c r="N32" s="157"/>
      <c r="O32" s="157"/>
      <c r="P32" s="158">
        <v>42471</v>
      </c>
      <c r="R32" s="160"/>
    </row>
    <row r="33" ht="17.25" customHeight="1" spans="1:18">
      <c r="A33" s="45">
        <v>4560051000</v>
      </c>
      <c r="B33" s="141" t="s">
        <v>142</v>
      </c>
      <c r="C33" s="142" t="s">
        <v>65</v>
      </c>
      <c r="D33" s="143">
        <v>1</v>
      </c>
      <c r="E33" s="49">
        <v>203</v>
      </c>
      <c r="F33" s="50" t="e">
        <f t="shared" si="0"/>
        <v>#N/A</v>
      </c>
      <c r="G33" s="144" t="s">
        <v>159</v>
      </c>
      <c r="H33" s="146" t="s">
        <v>48</v>
      </c>
      <c r="I33" s="152" t="s">
        <v>143</v>
      </c>
      <c r="J33" s="153">
        <v>42468</v>
      </c>
      <c r="K33" s="154" t="s">
        <v>88</v>
      </c>
      <c r="L33" s="155">
        <v>42469</v>
      </c>
      <c r="M33" s="156">
        <v>42468</v>
      </c>
      <c r="N33" s="540" t="s">
        <v>162</v>
      </c>
      <c r="O33" s="540" t="s">
        <v>164</v>
      </c>
      <c r="P33" s="158"/>
      <c r="R33" s="160"/>
    </row>
    <row r="34" ht="17.25" customHeight="1" spans="1:18">
      <c r="A34" s="45">
        <v>4560051001</v>
      </c>
      <c r="B34" s="141" t="s">
        <v>69</v>
      </c>
      <c r="C34" s="142" t="s">
        <v>126</v>
      </c>
      <c r="D34" s="143">
        <v>1</v>
      </c>
      <c r="E34" s="49">
        <v>160</v>
      </c>
      <c r="F34" s="50">
        <v>160</v>
      </c>
      <c r="G34" s="144" t="s">
        <v>139</v>
      </c>
      <c r="H34" s="146" t="s">
        <v>48</v>
      </c>
      <c r="I34" s="152" t="s">
        <v>143</v>
      </c>
      <c r="J34" s="153">
        <v>42469</v>
      </c>
      <c r="K34" s="154" t="s">
        <v>88</v>
      </c>
      <c r="L34" s="155">
        <v>42470</v>
      </c>
      <c r="M34" s="156">
        <v>42469</v>
      </c>
      <c r="N34" s="540" t="s">
        <v>165</v>
      </c>
      <c r="O34" s="541" t="s">
        <v>166</v>
      </c>
      <c r="P34" s="158"/>
      <c r="R34" s="160"/>
    </row>
    <row r="35" ht="17.25" customHeight="1" spans="1:18">
      <c r="A35" s="45">
        <v>4560051002</v>
      </c>
      <c r="B35" s="141" t="s">
        <v>69</v>
      </c>
      <c r="C35" s="142" t="s">
        <v>126</v>
      </c>
      <c r="D35" s="143">
        <v>1</v>
      </c>
      <c r="E35" s="49">
        <v>160</v>
      </c>
      <c r="F35" s="50">
        <v>160</v>
      </c>
      <c r="G35" s="144" t="s">
        <v>137</v>
      </c>
      <c r="H35" s="146" t="s">
        <v>48</v>
      </c>
      <c r="I35" s="152" t="s">
        <v>143</v>
      </c>
      <c r="J35" s="153">
        <v>42469</v>
      </c>
      <c r="K35" s="154" t="s">
        <v>88</v>
      </c>
      <c r="L35" s="155">
        <v>42470</v>
      </c>
      <c r="M35" s="156">
        <v>42469</v>
      </c>
      <c r="N35" s="540" t="s">
        <v>165</v>
      </c>
      <c r="O35" s="541" t="s">
        <v>166</v>
      </c>
      <c r="P35" s="158"/>
      <c r="R35" s="160"/>
    </row>
    <row r="36" ht="17.25" customHeight="1" spans="1:18">
      <c r="A36" s="45">
        <v>4560051003</v>
      </c>
      <c r="B36" s="141" t="s">
        <v>69</v>
      </c>
      <c r="C36" s="142" t="s">
        <v>134</v>
      </c>
      <c r="D36" s="143">
        <v>1</v>
      </c>
      <c r="E36" s="49">
        <v>800</v>
      </c>
      <c r="F36" s="50">
        <v>800</v>
      </c>
      <c r="G36" s="144" t="s">
        <v>167</v>
      </c>
      <c r="H36" s="146" t="s">
        <v>82</v>
      </c>
      <c r="I36" s="152" t="s">
        <v>143</v>
      </c>
      <c r="J36" s="153">
        <v>42469</v>
      </c>
      <c r="K36" s="154" t="s">
        <v>88</v>
      </c>
      <c r="L36" s="155">
        <v>42470</v>
      </c>
      <c r="M36" s="156">
        <v>42469</v>
      </c>
      <c r="N36" s="540" t="s">
        <v>165</v>
      </c>
      <c r="O36" s="157">
        <v>112595</v>
      </c>
      <c r="P36" s="158"/>
      <c r="R36" s="160"/>
    </row>
    <row r="37" ht="17.25" customHeight="1" spans="1:18">
      <c r="A37" s="45">
        <v>4560051004</v>
      </c>
      <c r="B37" s="141" t="s">
        <v>81</v>
      </c>
      <c r="C37" s="142" t="s">
        <v>65</v>
      </c>
      <c r="D37" s="143">
        <v>1</v>
      </c>
      <c r="E37" s="49">
        <v>203</v>
      </c>
      <c r="F37" s="50" t="e">
        <f t="shared" ref="F37:F60" si="1">#N/A</f>
        <v>#N/A</v>
      </c>
      <c r="G37" s="144" t="s">
        <v>131</v>
      </c>
      <c r="H37" s="146" t="s">
        <v>82</v>
      </c>
      <c r="I37" s="152" t="s">
        <v>143</v>
      </c>
      <c r="J37" s="153">
        <v>42469</v>
      </c>
      <c r="K37" s="154" t="s">
        <v>88</v>
      </c>
      <c r="L37" s="155">
        <v>42470</v>
      </c>
      <c r="M37" s="156">
        <v>42469</v>
      </c>
      <c r="N37" s="540" t="s">
        <v>165</v>
      </c>
      <c r="O37" s="157">
        <v>105206</v>
      </c>
      <c r="P37" s="158"/>
      <c r="R37" s="160"/>
    </row>
    <row r="38" ht="17.25" customHeight="1" spans="1:18">
      <c r="A38" s="45">
        <v>4560051005</v>
      </c>
      <c r="B38" s="141" t="s">
        <v>69</v>
      </c>
      <c r="C38" s="142" t="s">
        <v>126</v>
      </c>
      <c r="D38" s="143">
        <v>1</v>
      </c>
      <c r="E38" s="49">
        <v>160</v>
      </c>
      <c r="F38" s="50" t="e">
        <f t="shared" si="1"/>
        <v>#N/A</v>
      </c>
      <c r="G38" s="144" t="s">
        <v>127</v>
      </c>
      <c r="H38" s="146" t="s">
        <v>82</v>
      </c>
      <c r="I38" s="152" t="s">
        <v>143</v>
      </c>
      <c r="J38" s="153">
        <v>42469</v>
      </c>
      <c r="K38" s="154" t="s">
        <v>88</v>
      </c>
      <c r="L38" s="155">
        <v>42470</v>
      </c>
      <c r="M38" s="156">
        <v>42469</v>
      </c>
      <c r="N38" s="540" t="s">
        <v>165</v>
      </c>
      <c r="O38" s="157" t="s">
        <v>168</v>
      </c>
      <c r="P38" s="158"/>
      <c r="R38" s="160"/>
    </row>
    <row r="39" ht="17.25" customHeight="1" spans="1:18">
      <c r="A39" s="45">
        <v>4560051006</v>
      </c>
      <c r="B39" s="141" t="s">
        <v>69</v>
      </c>
      <c r="C39" s="142" t="s">
        <v>134</v>
      </c>
      <c r="D39" s="143">
        <v>1</v>
      </c>
      <c r="E39" s="49">
        <v>800</v>
      </c>
      <c r="F39" s="50" t="e">
        <f t="shared" si="1"/>
        <v>#N/A</v>
      </c>
      <c r="G39" s="144" t="s">
        <v>169</v>
      </c>
      <c r="H39" s="146" t="s">
        <v>48</v>
      </c>
      <c r="I39" s="152" t="s">
        <v>143</v>
      </c>
      <c r="J39" s="153">
        <v>42469</v>
      </c>
      <c r="K39" s="154" t="s">
        <v>88</v>
      </c>
      <c r="L39" s="155">
        <v>42470</v>
      </c>
      <c r="M39" s="156">
        <v>42469</v>
      </c>
      <c r="N39" s="540" t="s">
        <v>165</v>
      </c>
      <c r="O39" s="540" t="s">
        <v>170</v>
      </c>
      <c r="P39" s="158"/>
      <c r="R39" s="160"/>
    </row>
    <row r="40" ht="17.25" customHeight="1" spans="1:18">
      <c r="A40" s="45">
        <v>4560051007</v>
      </c>
      <c r="B40" s="141" t="s">
        <v>144</v>
      </c>
      <c r="C40" s="142" t="s">
        <v>65</v>
      </c>
      <c r="D40" s="143">
        <v>1</v>
      </c>
      <c r="E40" s="49">
        <v>203</v>
      </c>
      <c r="F40" s="50" t="e">
        <f t="shared" si="1"/>
        <v>#N/A</v>
      </c>
      <c r="G40" s="144" t="s">
        <v>159</v>
      </c>
      <c r="H40" s="145" t="s">
        <v>73</v>
      </c>
      <c r="I40" s="152" t="s">
        <v>143</v>
      </c>
      <c r="J40" s="153">
        <v>42470</v>
      </c>
      <c r="K40" s="154"/>
      <c r="L40" s="155">
        <v>42470</v>
      </c>
      <c r="M40" s="156">
        <v>42470</v>
      </c>
      <c r="N40" s="157"/>
      <c r="O40" s="157"/>
      <c r="P40" s="158">
        <v>42471</v>
      </c>
      <c r="R40" s="160"/>
    </row>
    <row r="41" ht="17.25" customHeight="1" spans="1:18">
      <c r="A41" s="45">
        <v>4560051008</v>
      </c>
      <c r="B41" s="141" t="s">
        <v>171</v>
      </c>
      <c r="C41" s="142" t="s">
        <v>65</v>
      </c>
      <c r="D41" s="143">
        <v>1</v>
      </c>
      <c r="E41" s="49">
        <v>203</v>
      </c>
      <c r="F41" s="50" t="e">
        <f t="shared" si="1"/>
        <v>#N/A</v>
      </c>
      <c r="G41" s="144" t="s">
        <v>159</v>
      </c>
      <c r="H41" s="145" t="s">
        <v>73</v>
      </c>
      <c r="I41" s="152" t="s">
        <v>143</v>
      </c>
      <c r="J41" s="153">
        <v>42470</v>
      </c>
      <c r="K41" s="154"/>
      <c r="L41" s="155">
        <v>42470</v>
      </c>
      <c r="M41" s="156">
        <v>42470</v>
      </c>
      <c r="N41" s="157"/>
      <c r="O41" s="157"/>
      <c r="P41" s="158">
        <v>42471</v>
      </c>
      <c r="R41" s="160"/>
    </row>
    <row r="42" ht="17.25" customHeight="1" spans="1:18">
      <c r="A42" s="45">
        <v>4560051009</v>
      </c>
      <c r="B42" s="141" t="s">
        <v>156</v>
      </c>
      <c r="C42" s="142" t="s">
        <v>65</v>
      </c>
      <c r="D42" s="143">
        <v>1</v>
      </c>
      <c r="E42" s="49">
        <v>203</v>
      </c>
      <c r="F42" s="50" t="e">
        <f t="shared" si="1"/>
        <v>#N/A</v>
      </c>
      <c r="G42" s="144" t="s">
        <v>159</v>
      </c>
      <c r="H42" s="145" t="s">
        <v>73</v>
      </c>
      <c r="I42" s="152" t="s">
        <v>143</v>
      </c>
      <c r="J42" s="153">
        <v>42470</v>
      </c>
      <c r="K42" s="154"/>
      <c r="L42" s="155">
        <v>42470</v>
      </c>
      <c r="M42" s="156">
        <v>42470</v>
      </c>
      <c r="N42" s="157"/>
      <c r="O42" s="157"/>
      <c r="P42" s="158">
        <v>42471</v>
      </c>
      <c r="R42" s="160"/>
    </row>
    <row r="43" ht="17.25" customHeight="1" spans="1:18">
      <c r="A43" s="45">
        <v>4560051010</v>
      </c>
      <c r="B43" s="141" t="s">
        <v>69</v>
      </c>
      <c r="C43" s="142" t="s">
        <v>134</v>
      </c>
      <c r="D43" s="143">
        <v>1</v>
      </c>
      <c r="E43" s="49">
        <v>800</v>
      </c>
      <c r="F43" s="50" t="e">
        <f t="shared" si="1"/>
        <v>#N/A</v>
      </c>
      <c r="G43" s="144" t="s">
        <v>172</v>
      </c>
      <c r="H43" s="146" t="s">
        <v>82</v>
      </c>
      <c r="I43" s="152" t="s">
        <v>143</v>
      </c>
      <c r="J43" s="153">
        <v>42470</v>
      </c>
      <c r="K43" s="154" t="s">
        <v>88</v>
      </c>
      <c r="L43" s="155">
        <v>42470</v>
      </c>
      <c r="M43" s="156">
        <v>42470</v>
      </c>
      <c r="N43" s="540" t="s">
        <v>173</v>
      </c>
      <c r="O43" s="540" t="s">
        <v>174</v>
      </c>
      <c r="P43" s="158"/>
      <c r="R43" s="160"/>
    </row>
    <row r="44" ht="19.5" customHeight="1" spans="1:18">
      <c r="A44" s="45">
        <v>4560051011</v>
      </c>
      <c r="B44" s="141" t="s">
        <v>84</v>
      </c>
      <c r="C44" s="142" t="s">
        <v>65</v>
      </c>
      <c r="D44" s="143">
        <v>1</v>
      </c>
      <c r="E44" s="49">
        <v>201</v>
      </c>
      <c r="F44" s="50" t="e">
        <f t="shared" si="1"/>
        <v>#N/A</v>
      </c>
      <c r="G44" s="144" t="s">
        <v>175</v>
      </c>
      <c r="H44" s="145" t="s">
        <v>73</v>
      </c>
      <c r="I44" s="152" t="s">
        <v>143</v>
      </c>
      <c r="J44" s="153">
        <v>42472</v>
      </c>
      <c r="K44" s="154"/>
      <c r="L44" s="155">
        <v>42473</v>
      </c>
      <c r="M44" s="156">
        <v>42472</v>
      </c>
      <c r="N44" s="157"/>
      <c r="O44" s="157"/>
      <c r="P44" s="158">
        <v>42478</v>
      </c>
      <c r="R44" s="160"/>
    </row>
    <row r="45" ht="17.25" customHeight="1" spans="1:18">
      <c r="A45" s="45">
        <v>4560051012</v>
      </c>
      <c r="B45" s="141" t="s">
        <v>176</v>
      </c>
      <c r="C45" s="142" t="s">
        <v>65</v>
      </c>
      <c r="D45" s="143">
        <v>1</v>
      </c>
      <c r="E45" s="49">
        <v>201</v>
      </c>
      <c r="F45" s="50" t="e">
        <f t="shared" si="1"/>
        <v>#N/A</v>
      </c>
      <c r="G45" s="144" t="s">
        <v>175</v>
      </c>
      <c r="H45" s="145" t="s">
        <v>73</v>
      </c>
      <c r="I45" s="152" t="s">
        <v>128</v>
      </c>
      <c r="J45" s="153">
        <v>42473</v>
      </c>
      <c r="K45" s="154"/>
      <c r="L45" s="155">
        <v>42475</v>
      </c>
      <c r="M45" s="156">
        <v>42473</v>
      </c>
      <c r="N45" s="157"/>
      <c r="O45" s="157"/>
      <c r="P45" s="158">
        <v>42478</v>
      </c>
      <c r="R45" s="160"/>
    </row>
    <row r="46" ht="17.25" customHeight="1" spans="1:18">
      <c r="A46" s="45">
        <v>4560051013</v>
      </c>
      <c r="B46" s="141" t="s">
        <v>69</v>
      </c>
      <c r="C46" s="142" t="s">
        <v>65</v>
      </c>
      <c r="D46" s="143">
        <v>1</v>
      </c>
      <c r="E46" s="49">
        <v>201</v>
      </c>
      <c r="F46" s="50" t="e">
        <f t="shared" si="1"/>
        <v>#N/A</v>
      </c>
      <c r="G46" s="144" t="s">
        <v>175</v>
      </c>
      <c r="H46" s="146" t="s">
        <v>151</v>
      </c>
      <c r="I46" s="152" t="s">
        <v>128</v>
      </c>
      <c r="J46" s="153">
        <v>42473</v>
      </c>
      <c r="K46" s="154" t="s">
        <v>88</v>
      </c>
      <c r="L46" s="155">
        <v>42475</v>
      </c>
      <c r="M46" s="156">
        <v>42473</v>
      </c>
      <c r="N46" s="540" t="s">
        <v>177</v>
      </c>
      <c r="O46" s="157">
        <v>837478</v>
      </c>
      <c r="P46" s="158"/>
      <c r="R46" s="160"/>
    </row>
    <row r="47" ht="17.25" customHeight="1" spans="1:18">
      <c r="A47" s="45">
        <v>4560051014</v>
      </c>
      <c r="B47" s="141" t="s">
        <v>79</v>
      </c>
      <c r="C47" s="142" t="s">
        <v>65</v>
      </c>
      <c r="D47" s="143">
        <v>1</v>
      </c>
      <c r="E47" s="49">
        <v>201</v>
      </c>
      <c r="F47" s="50" t="e">
        <f t="shared" si="1"/>
        <v>#N/A</v>
      </c>
      <c r="G47" s="144" t="s">
        <v>175</v>
      </c>
      <c r="H47" s="146" t="s">
        <v>48</v>
      </c>
      <c r="I47" s="152" t="s">
        <v>128</v>
      </c>
      <c r="J47" s="153">
        <v>42473</v>
      </c>
      <c r="K47" s="154" t="s">
        <v>88</v>
      </c>
      <c r="L47" s="155">
        <v>42475</v>
      </c>
      <c r="M47" s="156">
        <v>42473</v>
      </c>
      <c r="N47" s="540" t="s">
        <v>177</v>
      </c>
      <c r="O47" s="157">
        <v>488868</v>
      </c>
      <c r="P47" s="158"/>
      <c r="R47" s="160"/>
    </row>
    <row r="48" ht="17.25" customHeight="1" spans="1:18">
      <c r="A48" s="45">
        <v>4560051015</v>
      </c>
      <c r="B48" s="141" t="s">
        <v>178</v>
      </c>
      <c r="C48" s="142" t="s">
        <v>65</v>
      </c>
      <c r="D48" s="143">
        <v>1</v>
      </c>
      <c r="E48" s="49">
        <v>201</v>
      </c>
      <c r="F48" s="50" t="e">
        <f t="shared" si="1"/>
        <v>#N/A</v>
      </c>
      <c r="G48" s="144" t="s">
        <v>175</v>
      </c>
      <c r="H48" s="145" t="s">
        <v>73</v>
      </c>
      <c r="I48" s="152" t="s">
        <v>128</v>
      </c>
      <c r="J48" s="153">
        <v>42473</v>
      </c>
      <c r="K48" s="154"/>
      <c r="L48" s="155">
        <v>42475</v>
      </c>
      <c r="M48" s="156">
        <v>42473</v>
      </c>
      <c r="N48" s="157"/>
      <c r="O48" s="157"/>
      <c r="P48" s="158">
        <v>42478</v>
      </c>
      <c r="R48" s="160"/>
    </row>
    <row r="49" ht="17.25" customHeight="1" spans="1:18">
      <c r="A49" s="45">
        <v>4560051016</v>
      </c>
      <c r="B49" s="141" t="s">
        <v>81</v>
      </c>
      <c r="C49" s="142" t="s">
        <v>65</v>
      </c>
      <c r="D49" s="143">
        <v>1</v>
      </c>
      <c r="E49" s="49">
        <v>199</v>
      </c>
      <c r="F49" s="50" t="e">
        <f t="shared" si="1"/>
        <v>#N/A</v>
      </c>
      <c r="G49" s="144" t="s">
        <v>179</v>
      </c>
      <c r="H49" s="146" t="s">
        <v>48</v>
      </c>
      <c r="I49" s="152" t="s">
        <v>143</v>
      </c>
      <c r="J49" s="153">
        <v>42474</v>
      </c>
      <c r="K49" s="154" t="s">
        <v>88</v>
      </c>
      <c r="L49" s="155">
        <v>42475</v>
      </c>
      <c r="M49" s="156">
        <v>42474</v>
      </c>
      <c r="N49" s="540" t="s">
        <v>180</v>
      </c>
      <c r="O49" s="157">
        <v>154476</v>
      </c>
      <c r="P49" s="158"/>
      <c r="R49" s="160"/>
    </row>
    <row r="50" ht="17.25" customHeight="1" spans="1:18">
      <c r="A50" s="45">
        <v>4560051017</v>
      </c>
      <c r="B50" s="141" t="s">
        <v>69</v>
      </c>
      <c r="C50" s="142" t="s">
        <v>65</v>
      </c>
      <c r="D50" s="143">
        <v>1</v>
      </c>
      <c r="E50" s="49">
        <v>199</v>
      </c>
      <c r="F50" s="50" t="e">
        <f t="shared" si="1"/>
        <v>#N/A</v>
      </c>
      <c r="G50" s="144" t="s">
        <v>179</v>
      </c>
      <c r="H50" s="145" t="s">
        <v>73</v>
      </c>
      <c r="I50" s="152" t="s">
        <v>143</v>
      </c>
      <c r="J50" s="153">
        <v>42474</v>
      </c>
      <c r="K50" s="154"/>
      <c r="L50" s="155">
        <v>42475</v>
      </c>
      <c r="M50" s="156">
        <v>42474</v>
      </c>
      <c r="N50" s="157"/>
      <c r="O50" s="157"/>
      <c r="P50" s="158">
        <v>42478</v>
      </c>
      <c r="R50" s="160"/>
    </row>
    <row r="51" ht="17.25" customHeight="1" spans="1:18">
      <c r="A51" s="45">
        <v>4560051018</v>
      </c>
      <c r="B51" s="141" t="s">
        <v>69</v>
      </c>
      <c r="C51" s="142" t="s">
        <v>126</v>
      </c>
      <c r="D51" s="143">
        <v>1</v>
      </c>
      <c r="E51" s="49">
        <v>160</v>
      </c>
      <c r="F51" s="50" t="e">
        <f t="shared" si="1"/>
        <v>#N/A</v>
      </c>
      <c r="G51" s="144" t="s">
        <v>137</v>
      </c>
      <c r="H51" s="146" t="s">
        <v>48</v>
      </c>
      <c r="I51" s="152" t="s">
        <v>143</v>
      </c>
      <c r="J51" s="153">
        <v>42474</v>
      </c>
      <c r="K51" s="154" t="s">
        <v>88</v>
      </c>
      <c r="L51" s="155">
        <v>42475</v>
      </c>
      <c r="M51" s="156">
        <v>42474</v>
      </c>
      <c r="N51" s="540" t="s">
        <v>180</v>
      </c>
      <c r="O51" s="541" t="s">
        <v>181</v>
      </c>
      <c r="P51" s="158"/>
      <c r="R51" s="160"/>
    </row>
    <row r="52" ht="17.25" customHeight="1" spans="1:18">
      <c r="A52" s="45">
        <v>4560051019</v>
      </c>
      <c r="B52" s="141" t="s">
        <v>69</v>
      </c>
      <c r="C52" s="142" t="s">
        <v>126</v>
      </c>
      <c r="D52" s="143">
        <v>1</v>
      </c>
      <c r="E52" s="49">
        <v>160</v>
      </c>
      <c r="F52" s="50" t="e">
        <f t="shared" si="1"/>
        <v>#N/A</v>
      </c>
      <c r="G52" s="144" t="s">
        <v>139</v>
      </c>
      <c r="H52" s="146" t="s">
        <v>48</v>
      </c>
      <c r="I52" s="152" t="s">
        <v>143</v>
      </c>
      <c r="J52" s="153">
        <v>42474</v>
      </c>
      <c r="K52" s="154" t="s">
        <v>88</v>
      </c>
      <c r="L52" s="155">
        <v>42475</v>
      </c>
      <c r="M52" s="156">
        <v>42474</v>
      </c>
      <c r="N52" s="540" t="s">
        <v>180</v>
      </c>
      <c r="O52" s="541" t="s">
        <v>181</v>
      </c>
      <c r="P52" s="158"/>
      <c r="R52" s="160"/>
    </row>
    <row r="53" ht="17.25" customHeight="1" spans="1:18">
      <c r="A53" s="45">
        <v>4560051020</v>
      </c>
      <c r="B53" s="141" t="s">
        <v>156</v>
      </c>
      <c r="C53" s="142" t="s">
        <v>65</v>
      </c>
      <c r="D53" s="143">
        <v>1</v>
      </c>
      <c r="E53" s="49">
        <v>199</v>
      </c>
      <c r="F53" s="50" t="e">
        <f t="shared" si="1"/>
        <v>#N/A</v>
      </c>
      <c r="G53" s="144" t="s">
        <v>179</v>
      </c>
      <c r="H53" s="146" t="s">
        <v>82</v>
      </c>
      <c r="I53" s="152" t="s">
        <v>143</v>
      </c>
      <c r="J53" s="153">
        <v>42474</v>
      </c>
      <c r="K53" s="154" t="s">
        <v>88</v>
      </c>
      <c r="L53" s="155">
        <v>42475</v>
      </c>
      <c r="M53" s="156">
        <v>42474</v>
      </c>
      <c r="N53" s="540" t="s">
        <v>180</v>
      </c>
      <c r="O53" s="540" t="s">
        <v>182</v>
      </c>
      <c r="P53" s="158"/>
      <c r="R53" s="160"/>
    </row>
    <row r="54" ht="17.25" customHeight="1" spans="1:18">
      <c r="A54" s="45">
        <v>4560051021</v>
      </c>
      <c r="B54" s="141" t="s">
        <v>69</v>
      </c>
      <c r="C54" s="142" t="s">
        <v>126</v>
      </c>
      <c r="D54" s="143">
        <v>1</v>
      </c>
      <c r="E54" s="49">
        <v>160</v>
      </c>
      <c r="F54" s="50" t="e">
        <f t="shared" si="1"/>
        <v>#N/A</v>
      </c>
      <c r="G54" s="144" t="s">
        <v>183</v>
      </c>
      <c r="H54" s="146" t="s">
        <v>82</v>
      </c>
      <c r="I54" s="152" t="s">
        <v>143</v>
      </c>
      <c r="J54" s="153">
        <v>42474</v>
      </c>
      <c r="K54" s="154" t="s">
        <v>88</v>
      </c>
      <c r="L54" s="155">
        <v>42475</v>
      </c>
      <c r="M54" s="156">
        <v>42474</v>
      </c>
      <c r="N54" s="540" t="s">
        <v>180</v>
      </c>
      <c r="O54" s="540" t="s">
        <v>184</v>
      </c>
      <c r="P54" s="158"/>
      <c r="R54" s="160"/>
    </row>
    <row r="55" ht="17.25" customHeight="1" spans="1:18">
      <c r="A55" s="45">
        <v>4560051022</v>
      </c>
      <c r="B55" s="141" t="s">
        <v>185</v>
      </c>
      <c r="C55" s="142" t="s">
        <v>65</v>
      </c>
      <c r="D55" s="143">
        <v>1</v>
      </c>
      <c r="E55" s="49">
        <v>199</v>
      </c>
      <c r="F55" s="50" t="e">
        <f t="shared" si="1"/>
        <v>#N/A</v>
      </c>
      <c r="G55" s="144" t="s">
        <v>179</v>
      </c>
      <c r="H55" s="146" t="s">
        <v>48</v>
      </c>
      <c r="I55" s="152" t="s">
        <v>143</v>
      </c>
      <c r="J55" s="153">
        <v>42474</v>
      </c>
      <c r="K55" s="154" t="s">
        <v>88</v>
      </c>
      <c r="L55" s="155">
        <v>42475</v>
      </c>
      <c r="M55" s="156">
        <v>42474</v>
      </c>
      <c r="N55" s="540" t="s">
        <v>180</v>
      </c>
      <c r="O55" s="540" t="s">
        <v>186</v>
      </c>
      <c r="P55" s="158"/>
      <c r="R55" s="160"/>
    </row>
    <row r="56" ht="17.25" customHeight="1" spans="1:18">
      <c r="A56" s="45">
        <v>4560051023</v>
      </c>
      <c r="B56" s="141" t="s">
        <v>187</v>
      </c>
      <c r="C56" s="142" t="s">
        <v>65</v>
      </c>
      <c r="D56" s="143">
        <v>1</v>
      </c>
      <c r="E56" s="49">
        <v>198</v>
      </c>
      <c r="F56" s="50" t="e">
        <f t="shared" si="1"/>
        <v>#N/A</v>
      </c>
      <c r="G56" s="144" t="s">
        <v>188</v>
      </c>
      <c r="H56" s="146" t="s">
        <v>151</v>
      </c>
      <c r="I56" s="152" t="s">
        <v>128</v>
      </c>
      <c r="J56" s="153">
        <v>42475</v>
      </c>
      <c r="K56" s="154" t="s">
        <v>88</v>
      </c>
      <c r="L56" s="155">
        <v>42475</v>
      </c>
      <c r="M56" s="156">
        <v>42475</v>
      </c>
      <c r="N56" s="157">
        <v>188</v>
      </c>
      <c r="O56" s="540" t="s">
        <v>189</v>
      </c>
      <c r="P56" s="158"/>
      <c r="R56" s="160"/>
    </row>
    <row r="57" ht="17.25" customHeight="1" spans="1:18">
      <c r="A57" s="45">
        <v>4560051024</v>
      </c>
      <c r="B57" s="141" t="s">
        <v>69</v>
      </c>
      <c r="C57" s="142" t="s">
        <v>134</v>
      </c>
      <c r="D57" s="143">
        <v>1</v>
      </c>
      <c r="E57" s="49">
        <v>800</v>
      </c>
      <c r="F57" s="50" t="e">
        <f t="shared" si="1"/>
        <v>#N/A</v>
      </c>
      <c r="G57" s="144" t="s">
        <v>190</v>
      </c>
      <c r="H57" s="145" t="s">
        <v>73</v>
      </c>
      <c r="I57" s="152" t="s">
        <v>128</v>
      </c>
      <c r="J57" s="153">
        <v>42475</v>
      </c>
      <c r="K57" s="154"/>
      <c r="L57" s="155">
        <v>42475</v>
      </c>
      <c r="M57" s="156">
        <v>42475</v>
      </c>
      <c r="N57" s="157">
        <v>188</v>
      </c>
      <c r="O57" s="157"/>
      <c r="P57" s="158">
        <v>42478</v>
      </c>
      <c r="R57" s="160"/>
    </row>
    <row r="58" ht="17.25" customHeight="1" spans="1:18">
      <c r="A58" s="45">
        <v>4560051025</v>
      </c>
      <c r="B58" s="141" t="s">
        <v>75</v>
      </c>
      <c r="C58" s="142" t="s">
        <v>65</v>
      </c>
      <c r="D58" s="143">
        <v>1</v>
      </c>
      <c r="E58" s="49">
        <v>198</v>
      </c>
      <c r="F58" s="50" t="e">
        <f t="shared" si="1"/>
        <v>#N/A</v>
      </c>
      <c r="G58" s="144" t="s">
        <v>188</v>
      </c>
      <c r="H58" s="145" t="s">
        <v>73</v>
      </c>
      <c r="I58" s="152" t="s">
        <v>128</v>
      </c>
      <c r="J58" s="153">
        <v>42475</v>
      </c>
      <c r="K58" s="154"/>
      <c r="L58" s="155">
        <v>42475</v>
      </c>
      <c r="M58" s="156">
        <v>42475</v>
      </c>
      <c r="N58" s="157">
        <v>188</v>
      </c>
      <c r="O58" s="157"/>
      <c r="P58" s="158">
        <v>42478</v>
      </c>
      <c r="R58" s="160"/>
    </row>
    <row r="59" ht="17.25" customHeight="1" spans="1:18">
      <c r="A59" s="45">
        <v>4560051026</v>
      </c>
      <c r="B59" s="141" t="s">
        <v>156</v>
      </c>
      <c r="C59" s="142" t="s">
        <v>65</v>
      </c>
      <c r="D59" s="143">
        <v>1</v>
      </c>
      <c r="E59" s="49">
        <v>198</v>
      </c>
      <c r="F59" s="50" t="e">
        <f t="shared" si="1"/>
        <v>#N/A</v>
      </c>
      <c r="G59" s="144" t="s">
        <v>188</v>
      </c>
      <c r="H59" s="145" t="s">
        <v>73</v>
      </c>
      <c r="I59" s="152" t="s">
        <v>128</v>
      </c>
      <c r="J59" s="153">
        <v>42475</v>
      </c>
      <c r="K59" s="154"/>
      <c r="L59" s="155">
        <v>42475</v>
      </c>
      <c r="M59" s="156">
        <v>42475</v>
      </c>
      <c r="N59" s="157">
        <v>188</v>
      </c>
      <c r="O59" s="157"/>
      <c r="P59" s="158">
        <v>42478</v>
      </c>
      <c r="R59" s="160"/>
    </row>
    <row r="60" ht="17.25" customHeight="1" spans="1:18">
      <c r="A60" s="45">
        <v>4560051027</v>
      </c>
      <c r="B60" s="141" t="s">
        <v>69</v>
      </c>
      <c r="C60" s="142" t="s">
        <v>126</v>
      </c>
      <c r="D60" s="143">
        <v>1</v>
      </c>
      <c r="E60" s="49">
        <v>160</v>
      </c>
      <c r="F60" s="50" t="e">
        <f t="shared" si="1"/>
        <v>#N/A</v>
      </c>
      <c r="G60" s="144" t="s">
        <v>127</v>
      </c>
      <c r="H60" s="146" t="s">
        <v>82</v>
      </c>
      <c r="I60" s="152" t="s">
        <v>128</v>
      </c>
      <c r="J60" s="153">
        <v>42475</v>
      </c>
      <c r="K60" s="154" t="s">
        <v>88</v>
      </c>
      <c r="L60" s="155">
        <v>42475</v>
      </c>
      <c r="M60" s="156">
        <v>42475</v>
      </c>
      <c r="N60" s="157">
        <v>188</v>
      </c>
      <c r="O60" s="540" t="s">
        <v>191</v>
      </c>
      <c r="P60" s="158"/>
      <c r="R60" s="160"/>
    </row>
    <row r="61" ht="17.25" customHeight="1" spans="1:18">
      <c r="A61" s="45">
        <v>4560051028</v>
      </c>
      <c r="B61" s="141" t="s">
        <v>69</v>
      </c>
      <c r="C61" s="142" t="s">
        <v>134</v>
      </c>
      <c r="D61" s="143">
        <v>1</v>
      </c>
      <c r="E61" s="49">
        <v>800</v>
      </c>
      <c r="F61" s="50">
        <f>E61*D61</f>
        <v>800</v>
      </c>
      <c r="G61" s="144" t="s">
        <v>192</v>
      </c>
      <c r="H61" s="146" t="s">
        <v>48</v>
      </c>
      <c r="I61" s="152" t="s">
        <v>143</v>
      </c>
      <c r="J61" s="153">
        <v>42476</v>
      </c>
      <c r="K61" s="154" t="s">
        <v>88</v>
      </c>
      <c r="L61" s="155">
        <v>42478</v>
      </c>
      <c r="M61" s="156">
        <v>42476</v>
      </c>
      <c r="N61" s="540" t="s">
        <v>193</v>
      </c>
      <c r="O61" s="541" t="s">
        <v>194</v>
      </c>
      <c r="P61" s="158"/>
      <c r="R61" s="160"/>
    </row>
    <row r="62" ht="17.25" customHeight="1" spans="1:18">
      <c r="A62" s="45">
        <v>4560051029</v>
      </c>
      <c r="B62" s="141" t="s">
        <v>69</v>
      </c>
      <c r="C62" s="142" t="s">
        <v>134</v>
      </c>
      <c r="D62" s="143">
        <v>1</v>
      </c>
      <c r="E62" s="49">
        <v>800</v>
      </c>
      <c r="F62" s="50">
        <f>E62*D62</f>
        <v>800</v>
      </c>
      <c r="G62" s="144" t="s">
        <v>195</v>
      </c>
      <c r="H62" s="146" t="s">
        <v>48</v>
      </c>
      <c r="I62" s="152" t="s">
        <v>143</v>
      </c>
      <c r="J62" s="153">
        <v>42476</v>
      </c>
      <c r="K62" s="154" t="s">
        <v>88</v>
      </c>
      <c r="L62" s="155">
        <v>42478</v>
      </c>
      <c r="M62" s="156">
        <v>42476</v>
      </c>
      <c r="N62" s="540" t="s">
        <v>193</v>
      </c>
      <c r="O62" s="541" t="s">
        <v>194</v>
      </c>
      <c r="P62" s="158"/>
      <c r="R62" s="160"/>
    </row>
    <row r="63" ht="17.25" customHeight="1" spans="1:18">
      <c r="A63" s="45">
        <v>4560051030</v>
      </c>
      <c r="B63" s="141" t="s">
        <v>69</v>
      </c>
      <c r="C63" s="142" t="s">
        <v>126</v>
      </c>
      <c r="D63" s="143">
        <v>1</v>
      </c>
      <c r="E63" s="49">
        <v>160</v>
      </c>
      <c r="F63" s="50">
        <f>E63*D63</f>
        <v>160</v>
      </c>
      <c r="G63" s="144" t="s">
        <v>127</v>
      </c>
      <c r="H63" s="146" t="s">
        <v>82</v>
      </c>
      <c r="I63" s="152" t="s">
        <v>143</v>
      </c>
      <c r="J63" s="153">
        <v>42476</v>
      </c>
      <c r="K63" s="154" t="s">
        <v>88</v>
      </c>
      <c r="L63" s="155">
        <v>42478</v>
      </c>
      <c r="M63" s="156">
        <v>42476</v>
      </c>
      <c r="N63" s="157">
        <v>189</v>
      </c>
      <c r="O63" s="540" t="s">
        <v>196</v>
      </c>
      <c r="P63" s="158"/>
      <c r="R63" s="160"/>
    </row>
    <row r="64" ht="17.25" customHeight="1" spans="1:18">
      <c r="A64" s="45">
        <v>4560051031</v>
      </c>
      <c r="B64" s="141" t="s">
        <v>69</v>
      </c>
      <c r="C64" s="142" t="s">
        <v>126</v>
      </c>
      <c r="D64" s="143">
        <v>1</v>
      </c>
      <c r="E64" s="49">
        <v>160</v>
      </c>
      <c r="F64" s="50" t="e">
        <f t="shared" ref="F64:F127" si="2">#N/A</f>
        <v>#N/A</v>
      </c>
      <c r="G64" s="144" t="s">
        <v>197</v>
      </c>
      <c r="H64" s="146" t="s">
        <v>48</v>
      </c>
      <c r="I64" s="152" t="s">
        <v>143</v>
      </c>
      <c r="J64" s="153">
        <v>42476</v>
      </c>
      <c r="K64" s="154" t="s">
        <v>88</v>
      </c>
      <c r="L64" s="155">
        <v>42478</v>
      </c>
      <c r="M64" s="156">
        <v>42476</v>
      </c>
      <c r="N64" s="157">
        <v>189</v>
      </c>
      <c r="O64" s="157">
        <v>480633</v>
      </c>
      <c r="P64" s="158"/>
      <c r="R64" s="160"/>
    </row>
    <row r="65" ht="17.25" customHeight="1" spans="1:18">
      <c r="A65" s="45">
        <v>4560051032</v>
      </c>
      <c r="B65" s="141" t="s">
        <v>75</v>
      </c>
      <c r="C65" s="142" t="s">
        <v>65</v>
      </c>
      <c r="D65" s="143">
        <v>1</v>
      </c>
      <c r="E65" s="49">
        <v>198</v>
      </c>
      <c r="F65" s="50" t="e">
        <f t="shared" si="2"/>
        <v>#N/A</v>
      </c>
      <c r="G65" s="144" t="s">
        <v>188</v>
      </c>
      <c r="H65" s="145" t="s">
        <v>73</v>
      </c>
      <c r="I65" s="152" t="s">
        <v>143</v>
      </c>
      <c r="J65" s="153">
        <v>42476</v>
      </c>
      <c r="K65" s="154"/>
      <c r="L65" s="155">
        <v>42478</v>
      </c>
      <c r="M65" s="156">
        <v>42476</v>
      </c>
      <c r="N65" s="157"/>
      <c r="O65" s="157"/>
      <c r="P65" s="158">
        <v>42478</v>
      </c>
      <c r="R65" s="160"/>
    </row>
    <row r="66" ht="17.25" customHeight="1" spans="1:18">
      <c r="A66" s="45">
        <v>4560051033</v>
      </c>
      <c r="B66" s="141" t="s">
        <v>76</v>
      </c>
      <c r="C66" s="142" t="s">
        <v>65</v>
      </c>
      <c r="D66" s="143">
        <v>1</v>
      </c>
      <c r="E66" s="49">
        <v>198</v>
      </c>
      <c r="F66" s="50" t="e">
        <f t="shared" si="2"/>
        <v>#N/A</v>
      </c>
      <c r="G66" s="144" t="s">
        <v>188</v>
      </c>
      <c r="H66" s="145" t="s">
        <v>73</v>
      </c>
      <c r="I66" s="152" t="s">
        <v>143</v>
      </c>
      <c r="J66" s="153">
        <v>42476</v>
      </c>
      <c r="K66" s="154"/>
      <c r="L66" s="155">
        <v>42478</v>
      </c>
      <c r="M66" s="156">
        <v>42476</v>
      </c>
      <c r="N66" s="157"/>
      <c r="O66" s="157"/>
      <c r="P66" s="158">
        <v>42478</v>
      </c>
      <c r="R66" s="160"/>
    </row>
    <row r="67" ht="17.25" customHeight="1" spans="1:18">
      <c r="A67" s="45">
        <v>4560051034</v>
      </c>
      <c r="B67" s="141" t="s">
        <v>198</v>
      </c>
      <c r="C67" s="142" t="s">
        <v>65</v>
      </c>
      <c r="D67" s="143">
        <v>2</v>
      </c>
      <c r="E67" s="49">
        <v>198</v>
      </c>
      <c r="F67" s="50" t="e">
        <f t="shared" si="2"/>
        <v>#N/A</v>
      </c>
      <c r="G67" s="144" t="s">
        <v>188</v>
      </c>
      <c r="H67" s="145" t="s">
        <v>73</v>
      </c>
      <c r="I67" s="152" t="s">
        <v>143</v>
      </c>
      <c r="J67" s="153">
        <v>42476</v>
      </c>
      <c r="K67" s="154"/>
      <c r="L67" s="155">
        <v>42478</v>
      </c>
      <c r="M67" s="156">
        <v>42476</v>
      </c>
      <c r="N67" s="157"/>
      <c r="O67" s="157"/>
      <c r="P67" s="158">
        <v>42478</v>
      </c>
      <c r="R67" s="160"/>
    </row>
    <row r="68" ht="17.25" customHeight="1" spans="1:18">
      <c r="A68" s="45">
        <v>4560051035</v>
      </c>
      <c r="B68" s="141" t="s">
        <v>69</v>
      </c>
      <c r="C68" s="142" t="s">
        <v>65</v>
      </c>
      <c r="D68" s="143">
        <v>1</v>
      </c>
      <c r="E68" s="49">
        <v>198</v>
      </c>
      <c r="F68" s="50" t="e">
        <f t="shared" si="2"/>
        <v>#N/A</v>
      </c>
      <c r="G68" s="144" t="s">
        <v>188</v>
      </c>
      <c r="H68" s="145" t="s">
        <v>73</v>
      </c>
      <c r="I68" s="152" t="s">
        <v>143</v>
      </c>
      <c r="J68" s="153">
        <v>42476</v>
      </c>
      <c r="K68" s="154"/>
      <c r="L68" s="155">
        <v>42478</v>
      </c>
      <c r="M68" s="156">
        <v>42476</v>
      </c>
      <c r="N68" s="157"/>
      <c r="O68" s="157"/>
      <c r="P68" s="158">
        <v>42478</v>
      </c>
      <c r="R68" s="160"/>
    </row>
    <row r="69" ht="17.25" customHeight="1" spans="1:18">
      <c r="A69" s="45">
        <v>4560051036</v>
      </c>
      <c r="B69" s="141" t="s">
        <v>69</v>
      </c>
      <c r="C69" s="142" t="s">
        <v>65</v>
      </c>
      <c r="D69" s="143">
        <v>1</v>
      </c>
      <c r="E69" s="49">
        <v>198</v>
      </c>
      <c r="F69" s="50" t="e">
        <f t="shared" si="2"/>
        <v>#N/A</v>
      </c>
      <c r="G69" s="144" t="s">
        <v>188</v>
      </c>
      <c r="H69" s="145" t="s">
        <v>73</v>
      </c>
      <c r="I69" s="152" t="s">
        <v>143</v>
      </c>
      <c r="J69" s="153">
        <v>42476</v>
      </c>
      <c r="K69" s="154"/>
      <c r="L69" s="155">
        <v>42478</v>
      </c>
      <c r="M69" s="156">
        <v>42476</v>
      </c>
      <c r="N69" s="157"/>
      <c r="O69" s="157"/>
      <c r="P69" s="158">
        <v>42478</v>
      </c>
      <c r="R69" s="160"/>
    </row>
    <row r="70" ht="17.25" customHeight="1" spans="1:18">
      <c r="A70" s="45">
        <v>4560051037</v>
      </c>
      <c r="B70" s="141" t="s">
        <v>69</v>
      </c>
      <c r="C70" s="142" t="s">
        <v>126</v>
      </c>
      <c r="D70" s="143">
        <v>1</v>
      </c>
      <c r="E70" s="49">
        <v>160</v>
      </c>
      <c r="F70" s="50" t="e">
        <f t="shared" si="2"/>
        <v>#N/A</v>
      </c>
      <c r="G70" s="144" t="s">
        <v>199</v>
      </c>
      <c r="H70" s="146" t="s">
        <v>48</v>
      </c>
      <c r="I70" s="152" t="s">
        <v>200</v>
      </c>
      <c r="J70" s="153">
        <v>42477</v>
      </c>
      <c r="K70" s="154" t="s">
        <v>88</v>
      </c>
      <c r="L70" s="155">
        <v>42478</v>
      </c>
      <c r="M70" s="156">
        <v>42477</v>
      </c>
      <c r="N70" s="157">
        <v>190</v>
      </c>
      <c r="O70" s="157">
        <v>931083</v>
      </c>
      <c r="P70" s="158"/>
      <c r="R70" s="160"/>
    </row>
    <row r="71" ht="17.25" customHeight="1" spans="1:18">
      <c r="A71" s="45">
        <v>4560051038</v>
      </c>
      <c r="B71" s="141" t="s">
        <v>69</v>
      </c>
      <c r="C71" s="142" t="s">
        <v>134</v>
      </c>
      <c r="D71" s="143">
        <v>1</v>
      </c>
      <c r="E71" s="49">
        <v>800</v>
      </c>
      <c r="F71" s="50" t="e">
        <f t="shared" si="2"/>
        <v>#N/A</v>
      </c>
      <c r="G71" s="144" t="s">
        <v>201</v>
      </c>
      <c r="H71" s="146" t="s">
        <v>82</v>
      </c>
      <c r="I71" s="152" t="s">
        <v>200</v>
      </c>
      <c r="J71" s="153">
        <v>42477</v>
      </c>
      <c r="K71" s="154" t="s">
        <v>88</v>
      </c>
      <c r="L71" s="155">
        <v>42478</v>
      </c>
      <c r="M71" s="156">
        <v>42477</v>
      </c>
      <c r="N71" s="157">
        <v>190</v>
      </c>
      <c r="O71" s="540" t="s">
        <v>202</v>
      </c>
      <c r="P71" s="158"/>
      <c r="R71" s="160"/>
    </row>
    <row r="72" ht="17.25" customHeight="1" spans="1:18">
      <c r="A72" s="45">
        <v>4560051039</v>
      </c>
      <c r="B72" s="141" t="s">
        <v>69</v>
      </c>
      <c r="C72" s="142" t="s">
        <v>126</v>
      </c>
      <c r="D72" s="143">
        <v>1</v>
      </c>
      <c r="E72" s="49">
        <v>160</v>
      </c>
      <c r="F72" s="50" t="e">
        <f t="shared" si="2"/>
        <v>#N/A</v>
      </c>
      <c r="G72" s="144" t="s">
        <v>139</v>
      </c>
      <c r="H72" s="146" t="s">
        <v>151</v>
      </c>
      <c r="I72" s="152" t="s">
        <v>200</v>
      </c>
      <c r="J72" s="153">
        <v>42477</v>
      </c>
      <c r="K72" s="154" t="s">
        <v>88</v>
      </c>
      <c r="L72" s="155">
        <v>42478</v>
      </c>
      <c r="M72" s="156">
        <v>42477</v>
      </c>
      <c r="N72" s="157">
        <v>190</v>
      </c>
      <c r="O72" s="157">
        <v>149069</v>
      </c>
      <c r="P72" s="158"/>
      <c r="R72" s="160"/>
    </row>
    <row r="73" ht="17.25" customHeight="1" spans="1:18">
      <c r="A73" s="45">
        <v>4560051040</v>
      </c>
      <c r="B73" s="141" t="s">
        <v>69</v>
      </c>
      <c r="C73" s="142" t="s">
        <v>134</v>
      </c>
      <c r="D73" s="143">
        <v>1</v>
      </c>
      <c r="E73" s="49">
        <v>800</v>
      </c>
      <c r="F73" s="50" t="e">
        <f t="shared" si="2"/>
        <v>#N/A</v>
      </c>
      <c r="G73" s="144" t="s">
        <v>203</v>
      </c>
      <c r="H73" s="146" t="s">
        <v>151</v>
      </c>
      <c r="I73" s="152" t="s">
        <v>200</v>
      </c>
      <c r="J73" s="153">
        <v>42477</v>
      </c>
      <c r="K73" s="154" t="s">
        <v>88</v>
      </c>
      <c r="L73" s="155">
        <v>42478</v>
      </c>
      <c r="M73" s="156">
        <v>42477</v>
      </c>
      <c r="N73" s="157">
        <v>190</v>
      </c>
      <c r="O73" s="157">
        <v>153509</v>
      </c>
      <c r="P73" s="158"/>
      <c r="R73" s="160"/>
    </row>
    <row r="74" ht="17.25" customHeight="1" spans="1:18">
      <c r="A74" s="45">
        <v>4560051041</v>
      </c>
      <c r="B74" s="141" t="s">
        <v>69</v>
      </c>
      <c r="C74" s="142" t="s">
        <v>134</v>
      </c>
      <c r="D74" s="143">
        <v>1</v>
      </c>
      <c r="E74" s="49">
        <v>800</v>
      </c>
      <c r="F74" s="50" t="e">
        <f t="shared" si="2"/>
        <v>#N/A</v>
      </c>
      <c r="G74" s="144" t="s">
        <v>204</v>
      </c>
      <c r="H74" s="146" t="s">
        <v>48</v>
      </c>
      <c r="I74" s="152" t="s">
        <v>200</v>
      </c>
      <c r="J74" s="153">
        <v>42477</v>
      </c>
      <c r="K74" s="154" t="s">
        <v>88</v>
      </c>
      <c r="L74" s="155">
        <v>42478</v>
      </c>
      <c r="M74" s="156">
        <v>42477</v>
      </c>
      <c r="N74" s="157">
        <v>190</v>
      </c>
      <c r="O74" s="159">
        <v>478612</v>
      </c>
      <c r="P74" s="158"/>
      <c r="R74" s="160"/>
    </row>
    <row r="75" ht="17.25" customHeight="1" spans="1:18">
      <c r="A75" s="45">
        <v>4560051042</v>
      </c>
      <c r="B75" s="141" t="s">
        <v>69</v>
      </c>
      <c r="C75" s="142" t="s">
        <v>134</v>
      </c>
      <c r="D75" s="143">
        <v>1</v>
      </c>
      <c r="E75" s="49">
        <v>800</v>
      </c>
      <c r="F75" s="50" t="e">
        <f t="shared" si="2"/>
        <v>#N/A</v>
      </c>
      <c r="G75" s="144" t="s">
        <v>205</v>
      </c>
      <c r="H75" s="146" t="s">
        <v>48</v>
      </c>
      <c r="I75" s="152" t="s">
        <v>200</v>
      </c>
      <c r="J75" s="153">
        <v>42477</v>
      </c>
      <c r="K75" s="154" t="s">
        <v>88</v>
      </c>
      <c r="L75" s="155">
        <v>42478</v>
      </c>
      <c r="M75" s="156">
        <v>42477</v>
      </c>
      <c r="N75" s="157">
        <v>190</v>
      </c>
      <c r="O75" s="159">
        <v>478612</v>
      </c>
      <c r="P75" s="158"/>
      <c r="R75" s="160"/>
    </row>
    <row r="76" ht="17.25" customHeight="1" spans="1:18">
      <c r="A76" s="45">
        <v>4560051043</v>
      </c>
      <c r="B76" s="141" t="s">
        <v>140</v>
      </c>
      <c r="C76" s="142" t="s">
        <v>65</v>
      </c>
      <c r="D76" s="143">
        <v>1</v>
      </c>
      <c r="E76" s="49">
        <v>200</v>
      </c>
      <c r="F76" s="50" t="e">
        <f t="shared" si="2"/>
        <v>#N/A</v>
      </c>
      <c r="G76" s="144" t="s">
        <v>206</v>
      </c>
      <c r="H76" s="145" t="s">
        <v>73</v>
      </c>
      <c r="I76" s="152" t="s">
        <v>200</v>
      </c>
      <c r="J76" s="153">
        <v>42477</v>
      </c>
      <c r="K76" s="154"/>
      <c r="L76" s="155">
        <v>42478</v>
      </c>
      <c r="M76" s="156">
        <v>42477</v>
      </c>
      <c r="N76" s="157"/>
      <c r="O76" s="157"/>
      <c r="P76" s="158">
        <v>42478</v>
      </c>
      <c r="R76" s="160"/>
    </row>
    <row r="77" ht="17.25" customHeight="1" spans="1:18">
      <c r="A77" s="45">
        <v>4560051044</v>
      </c>
      <c r="B77" s="141" t="s">
        <v>69</v>
      </c>
      <c r="C77" s="142" t="s">
        <v>65</v>
      </c>
      <c r="D77" s="143">
        <v>1</v>
      </c>
      <c r="E77" s="49">
        <v>198</v>
      </c>
      <c r="F77" s="50" t="e">
        <f t="shared" si="2"/>
        <v>#N/A</v>
      </c>
      <c r="G77" s="144" t="s">
        <v>188</v>
      </c>
      <c r="H77" s="146" t="s">
        <v>151</v>
      </c>
      <c r="I77" s="152" t="s">
        <v>200</v>
      </c>
      <c r="J77" s="153">
        <v>42477</v>
      </c>
      <c r="K77" s="154" t="s">
        <v>88</v>
      </c>
      <c r="L77" s="155">
        <v>42478</v>
      </c>
      <c r="M77" s="156">
        <v>42477</v>
      </c>
      <c r="N77" s="157">
        <v>190</v>
      </c>
      <c r="O77" s="540" t="s">
        <v>207</v>
      </c>
      <c r="P77" s="158"/>
      <c r="R77" s="160"/>
    </row>
    <row r="78" ht="17.25" customHeight="1" spans="1:18">
      <c r="A78" s="45">
        <v>4560051045</v>
      </c>
      <c r="B78" s="141" t="s">
        <v>142</v>
      </c>
      <c r="C78" s="142" t="s">
        <v>65</v>
      </c>
      <c r="D78" s="143">
        <v>1</v>
      </c>
      <c r="E78" s="49">
        <v>198</v>
      </c>
      <c r="F78" s="50" t="e">
        <f t="shared" si="2"/>
        <v>#N/A</v>
      </c>
      <c r="G78" s="144" t="s">
        <v>188</v>
      </c>
      <c r="H78" s="145" t="s">
        <v>73</v>
      </c>
      <c r="I78" s="152" t="s">
        <v>200</v>
      </c>
      <c r="J78" s="153">
        <v>42477</v>
      </c>
      <c r="K78" s="154"/>
      <c r="L78" s="155">
        <v>42478</v>
      </c>
      <c r="M78" s="156">
        <v>42477</v>
      </c>
      <c r="N78" s="157"/>
      <c r="O78" s="157"/>
      <c r="P78" s="158">
        <v>42478</v>
      </c>
      <c r="R78" s="160"/>
    </row>
    <row r="79" ht="17.25" customHeight="1" spans="1:18">
      <c r="A79" s="45">
        <v>4560051046</v>
      </c>
      <c r="B79" s="141" t="s">
        <v>69</v>
      </c>
      <c r="C79" s="142" t="s">
        <v>134</v>
      </c>
      <c r="D79" s="143">
        <v>1</v>
      </c>
      <c r="E79" s="49">
        <v>800</v>
      </c>
      <c r="F79" s="50" t="e">
        <f t="shared" si="2"/>
        <v>#N/A</v>
      </c>
      <c r="G79" s="144" t="s">
        <v>208</v>
      </c>
      <c r="H79" s="146" t="s">
        <v>48</v>
      </c>
      <c r="I79" s="152" t="s">
        <v>143</v>
      </c>
      <c r="J79" s="153">
        <v>42478</v>
      </c>
      <c r="K79" s="154" t="s">
        <v>88</v>
      </c>
      <c r="L79" s="155">
        <v>42478</v>
      </c>
      <c r="M79" s="156">
        <v>42478</v>
      </c>
      <c r="N79" s="157">
        <v>191</v>
      </c>
      <c r="O79" s="540" t="s">
        <v>209</v>
      </c>
      <c r="P79" s="158"/>
      <c r="R79" s="160"/>
    </row>
    <row r="80" ht="17.25" customHeight="1" spans="1:18">
      <c r="A80" s="45">
        <v>4560051047</v>
      </c>
      <c r="B80" s="141" t="s">
        <v>210</v>
      </c>
      <c r="C80" s="142" t="s">
        <v>65</v>
      </c>
      <c r="D80" s="143">
        <v>1</v>
      </c>
      <c r="E80" s="49">
        <v>198</v>
      </c>
      <c r="F80" s="50" t="e">
        <f t="shared" si="2"/>
        <v>#N/A</v>
      </c>
      <c r="G80" s="144" t="s">
        <v>188</v>
      </c>
      <c r="H80" s="145" t="s">
        <v>211</v>
      </c>
      <c r="I80" s="152" t="s">
        <v>143</v>
      </c>
      <c r="J80" s="153">
        <v>42478</v>
      </c>
      <c r="K80" s="154" t="s">
        <v>212</v>
      </c>
      <c r="L80" s="155">
        <v>42478</v>
      </c>
      <c r="M80" s="156">
        <v>42478</v>
      </c>
      <c r="N80" s="157">
        <v>191</v>
      </c>
      <c r="O80" s="540" t="s">
        <v>213</v>
      </c>
      <c r="P80" s="158">
        <v>42485</v>
      </c>
      <c r="R80" s="160"/>
    </row>
    <row r="81" ht="17.25" customHeight="1" spans="1:18">
      <c r="A81" s="45">
        <v>4560051048</v>
      </c>
      <c r="B81" s="141" t="s">
        <v>69</v>
      </c>
      <c r="C81" s="142" t="s">
        <v>65</v>
      </c>
      <c r="D81" s="143">
        <v>1</v>
      </c>
      <c r="E81" s="49">
        <v>198</v>
      </c>
      <c r="F81" s="50" t="e">
        <f t="shared" si="2"/>
        <v>#N/A</v>
      </c>
      <c r="G81" s="144" t="s">
        <v>188</v>
      </c>
      <c r="H81" s="146" t="s">
        <v>151</v>
      </c>
      <c r="I81" s="152" t="s">
        <v>143</v>
      </c>
      <c r="J81" s="153">
        <v>42478</v>
      </c>
      <c r="K81" s="154" t="s">
        <v>88</v>
      </c>
      <c r="L81" s="155">
        <v>42478</v>
      </c>
      <c r="M81" s="156">
        <v>42478</v>
      </c>
      <c r="N81" s="157">
        <v>191</v>
      </c>
      <c r="O81" s="157">
        <v>149091</v>
      </c>
      <c r="P81" s="158"/>
      <c r="R81" s="160"/>
    </row>
    <row r="82" ht="17.25" customHeight="1" spans="1:18">
      <c r="A82" s="45">
        <v>4560051049</v>
      </c>
      <c r="B82" s="141" t="s">
        <v>69</v>
      </c>
      <c r="C82" s="142" t="s">
        <v>134</v>
      </c>
      <c r="D82" s="143">
        <v>1</v>
      </c>
      <c r="E82" s="49">
        <v>800</v>
      </c>
      <c r="F82" s="50" t="e">
        <f t="shared" si="2"/>
        <v>#N/A</v>
      </c>
      <c r="G82" s="144" t="s">
        <v>214</v>
      </c>
      <c r="H82" s="146" t="s">
        <v>48</v>
      </c>
      <c r="I82" s="152" t="s">
        <v>143</v>
      </c>
      <c r="J82" s="153">
        <v>42478</v>
      </c>
      <c r="K82" s="154" t="s">
        <v>88</v>
      </c>
      <c r="L82" s="155">
        <v>42478</v>
      </c>
      <c r="M82" s="156">
        <v>42478</v>
      </c>
      <c r="N82" s="157">
        <v>191</v>
      </c>
      <c r="O82" s="540" t="s">
        <v>215</v>
      </c>
      <c r="P82" s="158"/>
      <c r="R82" s="160"/>
    </row>
    <row r="83" ht="17.25" customHeight="1" spans="1:18">
      <c r="A83" s="45">
        <v>4560051050</v>
      </c>
      <c r="B83" s="141" t="s">
        <v>69</v>
      </c>
      <c r="C83" s="142" t="s">
        <v>65</v>
      </c>
      <c r="D83" s="143">
        <v>1</v>
      </c>
      <c r="E83" s="49">
        <v>198</v>
      </c>
      <c r="F83" s="50" t="e">
        <f t="shared" si="2"/>
        <v>#N/A</v>
      </c>
      <c r="G83" s="144" t="s">
        <v>188</v>
      </c>
      <c r="H83" s="146" t="s">
        <v>82</v>
      </c>
      <c r="I83" s="152" t="s">
        <v>128</v>
      </c>
      <c r="J83" s="153">
        <v>42479</v>
      </c>
      <c r="K83" s="154" t="s">
        <v>88</v>
      </c>
      <c r="L83" s="155">
        <v>42482</v>
      </c>
      <c r="M83" s="156">
        <v>42479</v>
      </c>
      <c r="N83" s="157">
        <v>192</v>
      </c>
      <c r="O83" s="540" t="s">
        <v>216</v>
      </c>
      <c r="P83" s="158"/>
      <c r="R83" s="160"/>
    </row>
    <row r="84" ht="17.25" customHeight="1" spans="1:18">
      <c r="A84" s="45">
        <v>4560051051</v>
      </c>
      <c r="B84" s="141" t="s">
        <v>69</v>
      </c>
      <c r="C84" s="142" t="s">
        <v>65</v>
      </c>
      <c r="D84" s="143">
        <v>1</v>
      </c>
      <c r="E84" s="49">
        <v>198</v>
      </c>
      <c r="F84" s="50" t="e">
        <f t="shared" si="2"/>
        <v>#N/A</v>
      </c>
      <c r="G84" s="144" t="s">
        <v>188</v>
      </c>
      <c r="H84" s="146" t="s">
        <v>48</v>
      </c>
      <c r="I84" s="152" t="s">
        <v>128</v>
      </c>
      <c r="J84" s="153">
        <v>42479</v>
      </c>
      <c r="K84" s="154" t="s">
        <v>88</v>
      </c>
      <c r="L84" s="155">
        <v>42482</v>
      </c>
      <c r="M84" s="156">
        <v>42479</v>
      </c>
      <c r="N84" s="157">
        <v>192</v>
      </c>
      <c r="O84" s="157">
        <v>990467</v>
      </c>
      <c r="P84" s="158"/>
      <c r="R84" s="160"/>
    </row>
    <row r="85" ht="17.25" customHeight="1" spans="1:18">
      <c r="A85" s="45">
        <v>4560051052</v>
      </c>
      <c r="B85" s="141" t="s">
        <v>69</v>
      </c>
      <c r="C85" s="142" t="s">
        <v>65</v>
      </c>
      <c r="D85" s="143">
        <v>1</v>
      </c>
      <c r="E85" s="49">
        <v>198</v>
      </c>
      <c r="F85" s="50" t="e">
        <f t="shared" si="2"/>
        <v>#N/A</v>
      </c>
      <c r="G85" s="144" t="s">
        <v>188</v>
      </c>
      <c r="H85" s="146" t="s">
        <v>48</v>
      </c>
      <c r="I85" s="152" t="s">
        <v>128</v>
      </c>
      <c r="J85" s="153">
        <v>42479</v>
      </c>
      <c r="K85" s="154" t="s">
        <v>88</v>
      </c>
      <c r="L85" s="155">
        <v>42482</v>
      </c>
      <c r="M85" s="156">
        <v>42479</v>
      </c>
      <c r="N85" s="157">
        <v>192</v>
      </c>
      <c r="O85" s="540" t="s">
        <v>217</v>
      </c>
      <c r="P85" s="158"/>
      <c r="R85" s="160"/>
    </row>
    <row r="86" ht="17.25" customHeight="1" spans="1:18">
      <c r="A86" s="45">
        <v>4560051053</v>
      </c>
      <c r="B86" s="141" t="s">
        <v>69</v>
      </c>
      <c r="C86" s="142" t="s">
        <v>65</v>
      </c>
      <c r="D86" s="143">
        <v>1</v>
      </c>
      <c r="E86" s="49">
        <v>198</v>
      </c>
      <c r="F86" s="50" t="e">
        <f t="shared" si="2"/>
        <v>#N/A</v>
      </c>
      <c r="G86" s="144" t="s">
        <v>188</v>
      </c>
      <c r="H86" s="146" t="s">
        <v>48</v>
      </c>
      <c r="I86" s="152" t="s">
        <v>128</v>
      </c>
      <c r="J86" s="153">
        <v>42479</v>
      </c>
      <c r="K86" s="154" t="s">
        <v>88</v>
      </c>
      <c r="L86" s="155">
        <v>42482</v>
      </c>
      <c r="M86" s="156">
        <v>42479</v>
      </c>
      <c r="N86" s="157">
        <v>192</v>
      </c>
      <c r="O86" s="540" t="s">
        <v>218</v>
      </c>
      <c r="P86" s="158"/>
      <c r="R86" s="160"/>
    </row>
    <row r="87" ht="17.25" customHeight="1" spans="1:18">
      <c r="A87" s="45">
        <v>4560051054</v>
      </c>
      <c r="B87" s="141" t="s">
        <v>85</v>
      </c>
      <c r="C87" s="142" t="s">
        <v>65</v>
      </c>
      <c r="D87" s="143">
        <v>1</v>
      </c>
      <c r="E87" s="49">
        <v>198</v>
      </c>
      <c r="F87" s="50" t="e">
        <f t="shared" si="2"/>
        <v>#N/A</v>
      </c>
      <c r="G87" s="144" t="s">
        <v>188</v>
      </c>
      <c r="H87" s="145" t="s">
        <v>219</v>
      </c>
      <c r="I87" s="152" t="s">
        <v>128</v>
      </c>
      <c r="J87" s="153">
        <v>42479</v>
      </c>
      <c r="K87" s="154" t="s">
        <v>220</v>
      </c>
      <c r="L87" s="155">
        <v>42482</v>
      </c>
      <c r="M87" s="156">
        <v>42479</v>
      </c>
      <c r="N87" s="157">
        <v>192</v>
      </c>
      <c r="O87" s="157">
        <v>171904</v>
      </c>
      <c r="P87" s="158">
        <v>42485</v>
      </c>
      <c r="R87" s="160"/>
    </row>
    <row r="88" ht="17.25" customHeight="1" spans="1:18">
      <c r="A88" s="45">
        <v>4560051055</v>
      </c>
      <c r="B88" s="141" t="s">
        <v>69</v>
      </c>
      <c r="C88" s="142" t="s">
        <v>126</v>
      </c>
      <c r="D88" s="143">
        <v>1</v>
      </c>
      <c r="E88" s="49">
        <v>160</v>
      </c>
      <c r="F88" s="50" t="e">
        <f t="shared" si="2"/>
        <v>#N/A</v>
      </c>
      <c r="G88" s="144" t="s">
        <v>199</v>
      </c>
      <c r="H88" s="145" t="s">
        <v>73</v>
      </c>
      <c r="I88" s="152" t="s">
        <v>128</v>
      </c>
      <c r="J88" s="153">
        <v>42479</v>
      </c>
      <c r="K88" s="154"/>
      <c r="L88" s="155">
        <v>42482</v>
      </c>
      <c r="M88" s="156">
        <v>42479</v>
      </c>
      <c r="N88" s="157"/>
      <c r="O88" s="157"/>
      <c r="P88" s="158">
        <v>42485</v>
      </c>
      <c r="R88" s="160" t="s">
        <v>221</v>
      </c>
    </row>
    <row r="89" ht="17.25" customHeight="1" spans="1:18">
      <c r="A89" s="45">
        <v>4560051056</v>
      </c>
      <c r="B89" s="141" t="s">
        <v>75</v>
      </c>
      <c r="C89" s="142" t="s">
        <v>65</v>
      </c>
      <c r="D89" s="143">
        <v>1</v>
      </c>
      <c r="E89" s="49">
        <v>199</v>
      </c>
      <c r="F89" s="50" t="e">
        <f t="shared" si="2"/>
        <v>#N/A</v>
      </c>
      <c r="G89" s="144" t="s">
        <v>179</v>
      </c>
      <c r="H89" s="146" t="s">
        <v>48</v>
      </c>
      <c r="I89" s="152" t="s">
        <v>128</v>
      </c>
      <c r="J89" s="153">
        <v>42480</v>
      </c>
      <c r="K89" s="154" t="s">
        <v>88</v>
      </c>
      <c r="L89" s="155">
        <v>42482</v>
      </c>
      <c r="M89" s="156">
        <v>42480</v>
      </c>
      <c r="N89" s="157">
        <v>193</v>
      </c>
      <c r="O89" s="540" t="s">
        <v>222</v>
      </c>
      <c r="P89" s="158"/>
      <c r="R89" s="160"/>
    </row>
    <row r="90" ht="17.25" customHeight="1" spans="1:18">
      <c r="A90" s="45">
        <v>4560051057</v>
      </c>
      <c r="B90" s="141" t="s">
        <v>69</v>
      </c>
      <c r="C90" s="142" t="s">
        <v>65</v>
      </c>
      <c r="D90" s="143">
        <v>1</v>
      </c>
      <c r="E90" s="49">
        <v>199</v>
      </c>
      <c r="F90" s="50" t="e">
        <f t="shared" si="2"/>
        <v>#N/A</v>
      </c>
      <c r="G90" s="144" t="s">
        <v>179</v>
      </c>
      <c r="H90" s="145" t="s">
        <v>73</v>
      </c>
      <c r="I90" s="152" t="s">
        <v>128</v>
      </c>
      <c r="J90" s="153">
        <v>42480</v>
      </c>
      <c r="K90" s="154"/>
      <c r="L90" s="155">
        <v>42482</v>
      </c>
      <c r="M90" s="156">
        <v>42480</v>
      </c>
      <c r="N90" s="157"/>
      <c r="O90" s="157"/>
      <c r="P90" s="158">
        <v>42485</v>
      </c>
      <c r="R90" s="160"/>
    </row>
    <row r="91" ht="17.25" customHeight="1" spans="1:18">
      <c r="A91" s="45">
        <v>4560051058</v>
      </c>
      <c r="B91" s="141" t="s">
        <v>69</v>
      </c>
      <c r="C91" s="142" t="s">
        <v>65</v>
      </c>
      <c r="D91" s="143">
        <v>1</v>
      </c>
      <c r="E91" s="49">
        <v>199</v>
      </c>
      <c r="F91" s="50" t="e">
        <f t="shared" si="2"/>
        <v>#N/A</v>
      </c>
      <c r="G91" s="144" t="s">
        <v>179</v>
      </c>
      <c r="H91" s="146" t="s">
        <v>82</v>
      </c>
      <c r="I91" s="152" t="s">
        <v>128</v>
      </c>
      <c r="J91" s="153">
        <v>42480</v>
      </c>
      <c r="K91" s="154" t="s">
        <v>88</v>
      </c>
      <c r="L91" s="155">
        <v>42482</v>
      </c>
      <c r="M91" s="156">
        <v>42480</v>
      </c>
      <c r="N91" s="157">
        <v>193</v>
      </c>
      <c r="O91" s="540" t="s">
        <v>223</v>
      </c>
      <c r="P91" s="158"/>
      <c r="R91" s="160"/>
    </row>
    <row r="92" ht="17.25" customHeight="1" spans="1:18">
      <c r="A92" s="45">
        <v>4560051059</v>
      </c>
      <c r="B92" s="141" t="s">
        <v>75</v>
      </c>
      <c r="C92" s="142" t="s">
        <v>65</v>
      </c>
      <c r="D92" s="143">
        <v>1</v>
      </c>
      <c r="E92" s="49">
        <v>199</v>
      </c>
      <c r="F92" s="50" t="e">
        <f t="shared" si="2"/>
        <v>#N/A</v>
      </c>
      <c r="G92" s="144" t="s">
        <v>179</v>
      </c>
      <c r="H92" s="146" t="s">
        <v>82</v>
      </c>
      <c r="I92" s="152" t="s">
        <v>128</v>
      </c>
      <c r="J92" s="153">
        <v>42480</v>
      </c>
      <c r="K92" s="154" t="s">
        <v>88</v>
      </c>
      <c r="L92" s="155">
        <v>42482</v>
      </c>
      <c r="M92" s="156">
        <v>42480</v>
      </c>
      <c r="N92" s="157">
        <v>193</v>
      </c>
      <c r="O92" s="540" t="s">
        <v>224</v>
      </c>
      <c r="P92" s="158"/>
      <c r="R92" s="160"/>
    </row>
    <row r="93" ht="17.25" customHeight="1" spans="1:18">
      <c r="A93" s="45">
        <v>4560051060</v>
      </c>
      <c r="B93" s="141" t="s">
        <v>225</v>
      </c>
      <c r="C93" s="142" t="s">
        <v>65</v>
      </c>
      <c r="D93" s="143">
        <v>1</v>
      </c>
      <c r="E93" s="49">
        <v>199</v>
      </c>
      <c r="F93" s="50" t="e">
        <f t="shared" si="2"/>
        <v>#N/A</v>
      </c>
      <c r="G93" s="144" t="s">
        <v>179</v>
      </c>
      <c r="H93" s="145" t="s">
        <v>73</v>
      </c>
      <c r="I93" s="152" t="s">
        <v>128</v>
      </c>
      <c r="J93" s="153">
        <v>42480</v>
      </c>
      <c r="K93" s="154"/>
      <c r="L93" s="155">
        <v>42482</v>
      </c>
      <c r="M93" s="156">
        <v>42480</v>
      </c>
      <c r="N93" s="157"/>
      <c r="O93" s="157"/>
      <c r="P93" s="158">
        <v>42485</v>
      </c>
      <c r="R93" s="160"/>
    </row>
    <row r="94" ht="17.25" customHeight="1" spans="1:18">
      <c r="A94" s="45">
        <v>4560051061</v>
      </c>
      <c r="B94" s="141" t="s">
        <v>75</v>
      </c>
      <c r="C94" s="142" t="s">
        <v>65</v>
      </c>
      <c r="D94" s="143">
        <v>1</v>
      </c>
      <c r="E94" s="49">
        <v>197</v>
      </c>
      <c r="F94" s="50" t="e">
        <f t="shared" si="2"/>
        <v>#N/A</v>
      </c>
      <c r="G94" s="144" t="s">
        <v>226</v>
      </c>
      <c r="H94" s="146" t="s">
        <v>82</v>
      </c>
      <c r="I94" s="152" t="s">
        <v>128</v>
      </c>
      <c r="J94" s="153">
        <v>42481</v>
      </c>
      <c r="K94" s="154" t="s">
        <v>88</v>
      </c>
      <c r="L94" s="155">
        <v>42482</v>
      </c>
      <c r="M94" s="156">
        <v>42481</v>
      </c>
      <c r="N94" s="540" t="s">
        <v>227</v>
      </c>
      <c r="O94" s="540" t="s">
        <v>228</v>
      </c>
      <c r="P94" s="158"/>
      <c r="R94" s="160"/>
    </row>
    <row r="95" ht="17.25" customHeight="1" spans="1:18">
      <c r="A95" s="45">
        <v>4560051062</v>
      </c>
      <c r="B95" s="141" t="s">
        <v>69</v>
      </c>
      <c r="C95" s="142" t="s">
        <v>126</v>
      </c>
      <c r="D95" s="143">
        <v>1</v>
      </c>
      <c r="E95" s="49">
        <v>160</v>
      </c>
      <c r="F95" s="50" t="e">
        <f t="shared" si="2"/>
        <v>#N/A</v>
      </c>
      <c r="G95" s="144" t="s">
        <v>197</v>
      </c>
      <c r="H95" s="145" t="s">
        <v>73</v>
      </c>
      <c r="I95" s="152" t="s">
        <v>128</v>
      </c>
      <c r="J95" s="153">
        <v>42481</v>
      </c>
      <c r="K95" s="154"/>
      <c r="L95" s="155">
        <v>42482</v>
      </c>
      <c r="M95" s="156">
        <v>42481</v>
      </c>
      <c r="N95" s="157"/>
      <c r="O95" s="157"/>
      <c r="P95" s="158">
        <v>42485</v>
      </c>
      <c r="R95" s="160"/>
    </row>
    <row r="96" ht="17.25" customHeight="1" spans="1:18">
      <c r="A96" s="45">
        <v>4560051063</v>
      </c>
      <c r="B96" s="141" t="s">
        <v>229</v>
      </c>
      <c r="C96" s="142" t="s">
        <v>65</v>
      </c>
      <c r="D96" s="143">
        <v>2</v>
      </c>
      <c r="E96" s="49">
        <v>197</v>
      </c>
      <c r="F96" s="50" t="e">
        <f t="shared" si="2"/>
        <v>#N/A</v>
      </c>
      <c r="G96" s="144" t="s">
        <v>226</v>
      </c>
      <c r="H96" s="145" t="s">
        <v>73</v>
      </c>
      <c r="I96" s="152" t="s">
        <v>128</v>
      </c>
      <c r="J96" s="153">
        <v>42481</v>
      </c>
      <c r="K96" s="154"/>
      <c r="L96" s="155">
        <v>42482</v>
      </c>
      <c r="M96" s="156">
        <v>42481</v>
      </c>
      <c r="N96" s="157"/>
      <c r="O96" s="157"/>
      <c r="P96" s="158">
        <v>42485</v>
      </c>
      <c r="R96" s="160"/>
    </row>
    <row r="97" ht="17.25" customHeight="1" spans="1:18">
      <c r="A97" s="45">
        <v>4560051064</v>
      </c>
      <c r="B97" s="141" t="s">
        <v>69</v>
      </c>
      <c r="C97" s="142" t="s">
        <v>65</v>
      </c>
      <c r="D97" s="143">
        <v>1</v>
      </c>
      <c r="E97" s="49">
        <v>197</v>
      </c>
      <c r="F97" s="50" t="e">
        <f t="shared" si="2"/>
        <v>#N/A</v>
      </c>
      <c r="G97" s="144" t="s">
        <v>226</v>
      </c>
      <c r="H97" s="146" t="s">
        <v>82</v>
      </c>
      <c r="I97" s="152" t="s">
        <v>128</v>
      </c>
      <c r="J97" s="153">
        <v>42481</v>
      </c>
      <c r="K97" s="154" t="s">
        <v>88</v>
      </c>
      <c r="L97" s="155">
        <v>42482</v>
      </c>
      <c r="M97" s="156">
        <v>42481</v>
      </c>
      <c r="N97" s="157">
        <v>194</v>
      </c>
      <c r="O97" s="540" t="s">
        <v>230</v>
      </c>
      <c r="P97" s="158"/>
      <c r="R97" s="160"/>
    </row>
    <row r="98" ht="17.25" customHeight="1" spans="1:18">
      <c r="A98" s="45">
        <v>4560051065</v>
      </c>
      <c r="B98" s="141" t="s">
        <v>69</v>
      </c>
      <c r="C98" s="142" t="s">
        <v>65</v>
      </c>
      <c r="D98" s="143">
        <v>1</v>
      </c>
      <c r="E98" s="49">
        <v>196</v>
      </c>
      <c r="F98" s="50" t="e">
        <f t="shared" si="2"/>
        <v>#N/A</v>
      </c>
      <c r="G98" s="144" t="s">
        <v>231</v>
      </c>
      <c r="H98" s="146" t="s">
        <v>151</v>
      </c>
      <c r="I98" s="152" t="s">
        <v>128</v>
      </c>
      <c r="J98" s="153">
        <v>42482</v>
      </c>
      <c r="K98" s="154" t="s">
        <v>88</v>
      </c>
      <c r="L98" s="155">
        <v>42482</v>
      </c>
      <c r="M98" s="156">
        <v>42482</v>
      </c>
      <c r="N98" s="157">
        <v>195</v>
      </c>
      <c r="O98" s="157">
        <v>157905</v>
      </c>
      <c r="P98" s="158"/>
      <c r="R98" s="160"/>
    </row>
    <row r="99" ht="17.25" customHeight="1" spans="1:18">
      <c r="A99" s="45">
        <v>4560051066</v>
      </c>
      <c r="B99" s="141" t="s">
        <v>69</v>
      </c>
      <c r="C99" s="142" t="s">
        <v>126</v>
      </c>
      <c r="D99" s="143">
        <v>1</v>
      </c>
      <c r="E99" s="49">
        <v>160</v>
      </c>
      <c r="F99" s="50" t="e">
        <f t="shared" si="2"/>
        <v>#N/A</v>
      </c>
      <c r="G99" s="144" t="s">
        <v>130</v>
      </c>
      <c r="H99" s="145" t="s">
        <v>73</v>
      </c>
      <c r="I99" s="152" t="s">
        <v>128</v>
      </c>
      <c r="J99" s="153">
        <v>42482</v>
      </c>
      <c r="K99" s="154"/>
      <c r="L99" s="155">
        <v>42482</v>
      </c>
      <c r="M99" s="156">
        <v>42482</v>
      </c>
      <c r="N99" s="157"/>
      <c r="O99" s="157"/>
      <c r="P99" s="158">
        <v>42485</v>
      </c>
      <c r="R99" s="160"/>
    </row>
    <row r="100" ht="17.25" customHeight="1" spans="1:18">
      <c r="A100" s="45">
        <v>4560051067</v>
      </c>
      <c r="B100" s="141" t="s">
        <v>69</v>
      </c>
      <c r="C100" s="142" t="s">
        <v>65</v>
      </c>
      <c r="D100" s="143">
        <v>1</v>
      </c>
      <c r="E100" s="49">
        <v>196</v>
      </c>
      <c r="F100" s="50" t="e">
        <f t="shared" si="2"/>
        <v>#N/A</v>
      </c>
      <c r="G100" s="144" t="s">
        <v>231</v>
      </c>
      <c r="H100" s="146" t="s">
        <v>82</v>
      </c>
      <c r="I100" s="152" t="s">
        <v>128</v>
      </c>
      <c r="J100" s="153">
        <v>42482</v>
      </c>
      <c r="K100" s="154" t="s">
        <v>88</v>
      </c>
      <c r="L100" s="155">
        <v>42482</v>
      </c>
      <c r="M100" s="156">
        <v>42482</v>
      </c>
      <c r="N100" s="157">
        <v>195</v>
      </c>
      <c r="O100" s="540" t="s">
        <v>232</v>
      </c>
      <c r="P100" s="158"/>
      <c r="R100" s="160"/>
    </row>
    <row r="101" ht="17.25" customHeight="1" spans="1:18">
      <c r="A101" s="45">
        <v>4560051068</v>
      </c>
      <c r="B101" s="141" t="s">
        <v>69</v>
      </c>
      <c r="C101" s="142" t="s">
        <v>65</v>
      </c>
      <c r="D101" s="143">
        <v>1</v>
      </c>
      <c r="E101" s="49">
        <v>196</v>
      </c>
      <c r="F101" s="50" t="e">
        <f t="shared" si="2"/>
        <v>#N/A</v>
      </c>
      <c r="G101" s="144" t="s">
        <v>231</v>
      </c>
      <c r="H101" s="146" t="s">
        <v>151</v>
      </c>
      <c r="I101" s="152" t="s">
        <v>128</v>
      </c>
      <c r="J101" s="153">
        <v>42482</v>
      </c>
      <c r="K101" s="154" t="s">
        <v>88</v>
      </c>
      <c r="L101" s="155">
        <v>42482</v>
      </c>
      <c r="M101" s="156">
        <v>42482</v>
      </c>
      <c r="N101" s="157">
        <v>195</v>
      </c>
      <c r="O101" s="157">
        <v>146142</v>
      </c>
      <c r="P101" s="158"/>
      <c r="R101" s="160"/>
    </row>
    <row r="102" ht="17.25" customHeight="1" spans="1:18">
      <c r="A102" s="45">
        <v>4560051069</v>
      </c>
      <c r="B102" s="141" t="s">
        <v>69</v>
      </c>
      <c r="C102" s="142" t="s">
        <v>134</v>
      </c>
      <c r="D102" s="143">
        <v>1</v>
      </c>
      <c r="E102" s="49">
        <v>800</v>
      </c>
      <c r="F102" s="50" t="e">
        <f t="shared" si="2"/>
        <v>#N/A</v>
      </c>
      <c r="G102" s="144" t="s">
        <v>233</v>
      </c>
      <c r="H102" s="146" t="s">
        <v>151</v>
      </c>
      <c r="I102" s="152" t="s">
        <v>128</v>
      </c>
      <c r="J102" s="153">
        <v>42482</v>
      </c>
      <c r="K102" s="154" t="s">
        <v>88</v>
      </c>
      <c r="L102" s="155">
        <v>42482</v>
      </c>
      <c r="M102" s="156">
        <v>42482</v>
      </c>
      <c r="N102" s="157">
        <v>195</v>
      </c>
      <c r="O102" s="159">
        <v>143757</v>
      </c>
      <c r="P102" s="158"/>
      <c r="R102" s="160"/>
    </row>
    <row r="103" ht="17.25" customHeight="1" spans="1:18">
      <c r="A103" s="45">
        <v>4560051070</v>
      </c>
      <c r="B103" s="141" t="s">
        <v>69</v>
      </c>
      <c r="C103" s="142" t="s">
        <v>134</v>
      </c>
      <c r="D103" s="143">
        <v>1</v>
      </c>
      <c r="E103" s="49">
        <v>800</v>
      </c>
      <c r="F103" s="50" t="e">
        <f t="shared" si="2"/>
        <v>#N/A</v>
      </c>
      <c r="G103" s="144" t="s">
        <v>234</v>
      </c>
      <c r="H103" s="146" t="s">
        <v>151</v>
      </c>
      <c r="I103" s="152" t="s">
        <v>128</v>
      </c>
      <c r="J103" s="153">
        <v>42482</v>
      </c>
      <c r="K103" s="154" t="s">
        <v>88</v>
      </c>
      <c r="L103" s="155">
        <v>42482</v>
      </c>
      <c r="M103" s="156">
        <v>42482</v>
      </c>
      <c r="N103" s="157">
        <v>195</v>
      </c>
      <c r="O103" s="159">
        <v>143757</v>
      </c>
      <c r="P103" s="158"/>
      <c r="R103" s="160"/>
    </row>
    <row r="104" ht="17.25" customHeight="1" spans="1:18">
      <c r="A104" s="45">
        <v>4560051071</v>
      </c>
      <c r="B104" s="141" t="s">
        <v>235</v>
      </c>
      <c r="C104" s="142" t="s">
        <v>65</v>
      </c>
      <c r="D104" s="143">
        <v>1</v>
      </c>
      <c r="E104" s="49">
        <v>196</v>
      </c>
      <c r="F104" s="50" t="e">
        <f t="shared" si="2"/>
        <v>#N/A</v>
      </c>
      <c r="G104" s="144" t="s">
        <v>231</v>
      </c>
      <c r="H104" s="145" t="s">
        <v>73</v>
      </c>
      <c r="I104" s="152" t="s">
        <v>128</v>
      </c>
      <c r="J104" s="153">
        <v>42482</v>
      </c>
      <c r="K104" s="154"/>
      <c r="L104" s="155">
        <v>42482</v>
      </c>
      <c r="M104" s="156">
        <v>42482</v>
      </c>
      <c r="N104" s="157"/>
      <c r="O104" s="157"/>
      <c r="P104" s="158">
        <v>42485</v>
      </c>
      <c r="R104" s="160"/>
    </row>
    <row r="105" ht="17.25" customHeight="1" spans="1:18">
      <c r="A105" s="45">
        <v>4560051072</v>
      </c>
      <c r="B105" s="141" t="s">
        <v>69</v>
      </c>
      <c r="C105" s="142" t="s">
        <v>65</v>
      </c>
      <c r="D105" s="143">
        <v>1</v>
      </c>
      <c r="E105" s="49">
        <v>196</v>
      </c>
      <c r="F105" s="50" t="e">
        <f t="shared" si="2"/>
        <v>#N/A</v>
      </c>
      <c r="G105" s="144" t="s">
        <v>231</v>
      </c>
      <c r="H105" s="146" t="s">
        <v>48</v>
      </c>
      <c r="I105" s="152" t="s">
        <v>128</v>
      </c>
      <c r="J105" s="153">
        <v>42483</v>
      </c>
      <c r="K105" s="154" t="s">
        <v>88</v>
      </c>
      <c r="L105" s="155">
        <v>42485</v>
      </c>
      <c r="M105" s="156">
        <v>42483</v>
      </c>
      <c r="N105" s="157">
        <v>196</v>
      </c>
      <c r="O105" s="157">
        <v>254172</v>
      </c>
      <c r="P105" s="158"/>
      <c r="R105" s="160"/>
    </row>
    <row r="106" ht="17.25" customHeight="1" spans="1:18">
      <c r="A106" s="45">
        <v>4560051073</v>
      </c>
      <c r="B106" s="141" t="s">
        <v>69</v>
      </c>
      <c r="C106" s="142" t="s">
        <v>126</v>
      </c>
      <c r="D106" s="143">
        <v>1</v>
      </c>
      <c r="E106" s="49">
        <v>160</v>
      </c>
      <c r="F106" s="50" t="e">
        <f t="shared" si="2"/>
        <v>#N/A</v>
      </c>
      <c r="G106" s="144" t="s">
        <v>236</v>
      </c>
      <c r="H106" s="146" t="s">
        <v>48</v>
      </c>
      <c r="I106" s="152" t="s">
        <v>128</v>
      </c>
      <c r="J106" s="153">
        <v>42483</v>
      </c>
      <c r="K106" s="154" t="s">
        <v>88</v>
      </c>
      <c r="L106" s="155">
        <v>42485</v>
      </c>
      <c r="M106" s="156">
        <v>42483</v>
      </c>
      <c r="N106" s="157">
        <v>196</v>
      </c>
      <c r="O106" s="540" t="s">
        <v>237</v>
      </c>
      <c r="P106" s="158"/>
      <c r="R106" s="160"/>
    </row>
    <row r="107" ht="17.25" customHeight="1" spans="1:18">
      <c r="A107" s="45">
        <v>4560051074</v>
      </c>
      <c r="B107" s="141" t="s">
        <v>69</v>
      </c>
      <c r="C107" s="142" t="s">
        <v>65</v>
      </c>
      <c r="D107" s="143">
        <v>1</v>
      </c>
      <c r="E107" s="49">
        <v>196</v>
      </c>
      <c r="F107" s="50" t="e">
        <f t="shared" si="2"/>
        <v>#N/A</v>
      </c>
      <c r="G107" s="144" t="s">
        <v>231</v>
      </c>
      <c r="H107" s="145" t="s">
        <v>73</v>
      </c>
      <c r="I107" s="152" t="s">
        <v>128</v>
      </c>
      <c r="J107" s="153">
        <v>42483</v>
      </c>
      <c r="K107" s="154"/>
      <c r="L107" s="155">
        <v>42485</v>
      </c>
      <c r="M107" s="156">
        <v>42483</v>
      </c>
      <c r="N107" s="157"/>
      <c r="O107" s="157"/>
      <c r="P107" s="158">
        <v>42485</v>
      </c>
      <c r="R107" s="160"/>
    </row>
    <row r="108" ht="17.25" customHeight="1" spans="1:18">
      <c r="A108" s="45">
        <v>4560051075</v>
      </c>
      <c r="B108" s="141" t="s">
        <v>75</v>
      </c>
      <c r="C108" s="142" t="s">
        <v>65</v>
      </c>
      <c r="D108" s="143">
        <v>1</v>
      </c>
      <c r="E108" s="49">
        <v>196</v>
      </c>
      <c r="F108" s="50" t="e">
        <f t="shared" si="2"/>
        <v>#N/A</v>
      </c>
      <c r="G108" s="144" t="s">
        <v>231</v>
      </c>
      <c r="H108" s="146" t="s">
        <v>48</v>
      </c>
      <c r="I108" s="152" t="s">
        <v>128</v>
      </c>
      <c r="J108" s="153">
        <v>42483</v>
      </c>
      <c r="K108" s="154" t="s">
        <v>88</v>
      </c>
      <c r="L108" s="155">
        <v>42485</v>
      </c>
      <c r="M108" s="156">
        <v>42483</v>
      </c>
      <c r="N108" s="157">
        <v>196</v>
      </c>
      <c r="O108" s="540" t="s">
        <v>238</v>
      </c>
      <c r="P108" s="158"/>
      <c r="R108" s="160"/>
    </row>
    <row r="109" ht="17.25" customHeight="1" spans="1:18">
      <c r="A109" s="45">
        <v>4560051076</v>
      </c>
      <c r="B109" s="141" t="s">
        <v>69</v>
      </c>
      <c r="C109" s="142" t="s">
        <v>65</v>
      </c>
      <c r="D109" s="143">
        <v>1</v>
      </c>
      <c r="E109" s="49">
        <v>196</v>
      </c>
      <c r="F109" s="50" t="e">
        <f t="shared" si="2"/>
        <v>#N/A</v>
      </c>
      <c r="G109" s="144" t="s">
        <v>239</v>
      </c>
      <c r="H109" s="146" t="s">
        <v>48</v>
      </c>
      <c r="I109" s="152" t="s">
        <v>128</v>
      </c>
      <c r="J109" s="153">
        <v>42483</v>
      </c>
      <c r="K109" s="154" t="s">
        <v>88</v>
      </c>
      <c r="L109" s="155">
        <v>42485</v>
      </c>
      <c r="M109" s="156">
        <v>42483</v>
      </c>
      <c r="N109" s="157">
        <v>196</v>
      </c>
      <c r="O109" s="157">
        <v>165755</v>
      </c>
      <c r="P109" s="158"/>
      <c r="R109" s="160"/>
    </row>
    <row r="110" ht="17.25" customHeight="1" spans="1:18">
      <c r="A110" s="45">
        <v>4560051077</v>
      </c>
      <c r="B110" s="141" t="s">
        <v>69</v>
      </c>
      <c r="C110" s="142" t="s">
        <v>134</v>
      </c>
      <c r="D110" s="143">
        <v>1</v>
      </c>
      <c r="E110" s="49">
        <v>800</v>
      </c>
      <c r="F110" s="50" t="e">
        <f t="shared" si="2"/>
        <v>#N/A</v>
      </c>
      <c r="G110" s="144" t="s">
        <v>240</v>
      </c>
      <c r="H110" s="146" t="s">
        <v>48</v>
      </c>
      <c r="I110" s="152" t="s">
        <v>128</v>
      </c>
      <c r="J110" s="153">
        <v>42483</v>
      </c>
      <c r="K110" s="154" t="s">
        <v>88</v>
      </c>
      <c r="L110" s="155">
        <v>42485</v>
      </c>
      <c r="M110" s="156">
        <v>42483</v>
      </c>
      <c r="N110" s="157">
        <v>196</v>
      </c>
      <c r="O110" s="541" t="s">
        <v>241</v>
      </c>
      <c r="P110" s="158"/>
      <c r="R110" s="160"/>
    </row>
    <row r="111" ht="17.25" customHeight="1" spans="1:18">
      <c r="A111" s="45">
        <v>4560051078</v>
      </c>
      <c r="B111" s="141" t="s">
        <v>69</v>
      </c>
      <c r="C111" s="142" t="s">
        <v>134</v>
      </c>
      <c r="D111" s="143">
        <v>1</v>
      </c>
      <c r="E111" s="49">
        <v>800</v>
      </c>
      <c r="F111" s="50" t="e">
        <f t="shared" si="2"/>
        <v>#N/A</v>
      </c>
      <c r="G111" s="144" t="s">
        <v>242</v>
      </c>
      <c r="H111" s="146" t="s">
        <v>48</v>
      </c>
      <c r="I111" s="152" t="s">
        <v>128</v>
      </c>
      <c r="J111" s="153">
        <v>42483</v>
      </c>
      <c r="K111" s="154" t="s">
        <v>88</v>
      </c>
      <c r="L111" s="155">
        <v>42485</v>
      </c>
      <c r="M111" s="156">
        <v>42483</v>
      </c>
      <c r="N111" s="157">
        <v>196</v>
      </c>
      <c r="O111" s="541" t="s">
        <v>241</v>
      </c>
      <c r="P111" s="158"/>
      <c r="R111" s="160"/>
    </row>
    <row r="112" ht="17.25" customHeight="1" spans="1:18">
      <c r="A112" s="45">
        <v>4560051079</v>
      </c>
      <c r="B112" s="141" t="s">
        <v>69</v>
      </c>
      <c r="C112" s="142" t="s">
        <v>134</v>
      </c>
      <c r="D112" s="143">
        <v>1</v>
      </c>
      <c r="E112" s="49">
        <v>800</v>
      </c>
      <c r="F112" s="50" t="e">
        <f t="shared" si="2"/>
        <v>#N/A</v>
      </c>
      <c r="G112" s="144" t="s">
        <v>243</v>
      </c>
      <c r="H112" s="146" t="s">
        <v>151</v>
      </c>
      <c r="I112" s="152" t="s">
        <v>128</v>
      </c>
      <c r="J112" s="153">
        <v>42483</v>
      </c>
      <c r="K112" s="154" t="s">
        <v>88</v>
      </c>
      <c r="L112" s="155">
        <v>42485</v>
      </c>
      <c r="M112" s="156">
        <v>42483</v>
      </c>
      <c r="N112" s="157">
        <v>196</v>
      </c>
      <c r="O112" s="157">
        <v>160885</v>
      </c>
      <c r="P112" s="158"/>
      <c r="R112" s="160"/>
    </row>
    <row r="113" ht="17.25" customHeight="1" spans="1:18">
      <c r="A113" s="45">
        <v>4560051080</v>
      </c>
      <c r="B113" s="141" t="s">
        <v>69</v>
      </c>
      <c r="C113" s="142" t="s">
        <v>65</v>
      </c>
      <c r="D113" s="143">
        <v>1</v>
      </c>
      <c r="E113" s="49">
        <v>196</v>
      </c>
      <c r="F113" s="50" t="e">
        <f t="shared" si="2"/>
        <v>#N/A</v>
      </c>
      <c r="G113" s="144" t="s">
        <v>231</v>
      </c>
      <c r="H113" s="146" t="s">
        <v>48</v>
      </c>
      <c r="I113" s="152" t="s">
        <v>143</v>
      </c>
      <c r="J113" s="153">
        <v>42484</v>
      </c>
      <c r="K113" s="154" t="s">
        <v>88</v>
      </c>
      <c r="L113" s="155">
        <v>42485</v>
      </c>
      <c r="M113" s="156">
        <v>42484</v>
      </c>
      <c r="N113" s="157">
        <v>197</v>
      </c>
      <c r="O113" s="157">
        <v>541426</v>
      </c>
      <c r="P113" s="158"/>
      <c r="R113" s="160"/>
    </row>
    <row r="114" ht="17.25" customHeight="1" spans="1:18">
      <c r="A114" s="45">
        <v>4560051081</v>
      </c>
      <c r="B114" s="141" t="s">
        <v>69</v>
      </c>
      <c r="C114" s="142" t="s">
        <v>126</v>
      </c>
      <c r="D114" s="143">
        <v>1</v>
      </c>
      <c r="E114" s="49">
        <v>160</v>
      </c>
      <c r="F114" s="50" t="e">
        <f t="shared" si="2"/>
        <v>#N/A</v>
      </c>
      <c r="G114" s="144" t="s">
        <v>127</v>
      </c>
      <c r="H114" s="146" t="s">
        <v>151</v>
      </c>
      <c r="I114" s="152" t="s">
        <v>143</v>
      </c>
      <c r="J114" s="153">
        <v>42484</v>
      </c>
      <c r="K114" s="154" t="s">
        <v>88</v>
      </c>
      <c r="L114" s="155">
        <v>42485</v>
      </c>
      <c r="M114" s="156">
        <v>42484</v>
      </c>
      <c r="N114" s="157">
        <v>197</v>
      </c>
      <c r="O114" s="157">
        <v>132522</v>
      </c>
      <c r="P114" s="158"/>
      <c r="R114" s="160"/>
    </row>
    <row r="115" ht="17.25" customHeight="1" spans="1:18">
      <c r="A115" s="45">
        <v>4560051082</v>
      </c>
      <c r="B115" s="141" t="s">
        <v>69</v>
      </c>
      <c r="C115" s="142" t="s">
        <v>126</v>
      </c>
      <c r="D115" s="143">
        <v>1</v>
      </c>
      <c r="E115" s="49">
        <v>160</v>
      </c>
      <c r="F115" s="50" t="e">
        <f t="shared" si="2"/>
        <v>#N/A</v>
      </c>
      <c r="G115" s="144" t="s">
        <v>183</v>
      </c>
      <c r="H115" s="146" t="s">
        <v>48</v>
      </c>
      <c r="I115" s="152" t="s">
        <v>143</v>
      </c>
      <c r="J115" s="153">
        <v>42484</v>
      </c>
      <c r="K115" s="154" t="s">
        <v>88</v>
      </c>
      <c r="L115" s="155">
        <v>42485</v>
      </c>
      <c r="M115" s="156">
        <v>42484</v>
      </c>
      <c r="N115" s="157">
        <v>197</v>
      </c>
      <c r="O115" s="157">
        <v>360043</v>
      </c>
      <c r="P115" s="158"/>
      <c r="R115" s="160"/>
    </row>
    <row r="116" ht="17.25" customHeight="1" spans="1:18">
      <c r="A116" s="45">
        <v>4560051083</v>
      </c>
      <c r="B116" s="141" t="s">
        <v>69</v>
      </c>
      <c r="C116" s="142" t="s">
        <v>134</v>
      </c>
      <c r="D116" s="143">
        <v>1</v>
      </c>
      <c r="E116" s="49">
        <v>800</v>
      </c>
      <c r="F116" s="50" t="e">
        <f t="shared" si="2"/>
        <v>#N/A</v>
      </c>
      <c r="G116" s="144" t="s">
        <v>244</v>
      </c>
      <c r="H116" s="146" t="s">
        <v>48</v>
      </c>
      <c r="I116" s="152" t="s">
        <v>143</v>
      </c>
      <c r="J116" s="153">
        <v>42484</v>
      </c>
      <c r="K116" s="154" t="s">
        <v>88</v>
      </c>
      <c r="L116" s="155">
        <v>42485</v>
      </c>
      <c r="M116" s="156">
        <v>42484</v>
      </c>
      <c r="N116" s="157">
        <v>197</v>
      </c>
      <c r="O116" s="157">
        <v>373532</v>
      </c>
      <c r="P116" s="158"/>
      <c r="R116" s="160"/>
    </row>
    <row r="117" ht="17.25" customHeight="1" spans="1:18">
      <c r="A117" s="45">
        <v>4560051084</v>
      </c>
      <c r="B117" s="141" t="s">
        <v>69</v>
      </c>
      <c r="C117" s="142" t="s">
        <v>134</v>
      </c>
      <c r="D117" s="143">
        <v>1</v>
      </c>
      <c r="E117" s="49">
        <v>800</v>
      </c>
      <c r="F117" s="50" t="e">
        <f t="shared" si="2"/>
        <v>#N/A</v>
      </c>
      <c r="G117" s="144" t="s">
        <v>245</v>
      </c>
      <c r="H117" s="145" t="s">
        <v>73</v>
      </c>
      <c r="I117" s="152" t="s">
        <v>143</v>
      </c>
      <c r="J117" s="153">
        <v>42484</v>
      </c>
      <c r="K117" s="154"/>
      <c r="L117" s="155">
        <v>42485</v>
      </c>
      <c r="M117" s="156">
        <v>42484</v>
      </c>
      <c r="N117" s="157"/>
      <c r="O117" s="157"/>
      <c r="P117" s="158">
        <v>42485</v>
      </c>
      <c r="R117" s="160"/>
    </row>
    <row r="118" ht="17.25" customHeight="1" spans="1:18">
      <c r="A118" s="45">
        <v>4560051085</v>
      </c>
      <c r="B118" s="141" t="s">
        <v>69</v>
      </c>
      <c r="C118" s="142" t="s">
        <v>134</v>
      </c>
      <c r="D118" s="143">
        <v>1</v>
      </c>
      <c r="E118" s="49">
        <v>800</v>
      </c>
      <c r="F118" s="50" t="e">
        <f t="shared" si="2"/>
        <v>#N/A</v>
      </c>
      <c r="G118" s="144" t="s">
        <v>246</v>
      </c>
      <c r="H118" s="146" t="s">
        <v>48</v>
      </c>
      <c r="I118" s="152" t="s">
        <v>143</v>
      </c>
      <c r="J118" s="153">
        <v>42484</v>
      </c>
      <c r="K118" s="154" t="s">
        <v>88</v>
      </c>
      <c r="L118" s="155">
        <v>42485</v>
      </c>
      <c r="M118" s="156">
        <v>42484</v>
      </c>
      <c r="N118" s="157">
        <v>197</v>
      </c>
      <c r="O118" s="540" t="s">
        <v>247</v>
      </c>
      <c r="P118" s="158"/>
      <c r="R118" s="160"/>
    </row>
    <row r="119" ht="17.25" customHeight="1" spans="1:18">
      <c r="A119" s="45">
        <v>4560051086</v>
      </c>
      <c r="B119" s="141" t="s">
        <v>69</v>
      </c>
      <c r="C119" s="142" t="s">
        <v>134</v>
      </c>
      <c r="D119" s="143">
        <v>1</v>
      </c>
      <c r="E119" s="49">
        <v>800</v>
      </c>
      <c r="F119" s="50" t="e">
        <f t="shared" si="2"/>
        <v>#N/A</v>
      </c>
      <c r="G119" s="144" t="s">
        <v>248</v>
      </c>
      <c r="H119" s="146" t="s">
        <v>48</v>
      </c>
      <c r="I119" s="152" t="s">
        <v>143</v>
      </c>
      <c r="J119" s="153">
        <v>42485</v>
      </c>
      <c r="K119" s="154" t="s">
        <v>88</v>
      </c>
      <c r="L119" s="155">
        <v>42488</v>
      </c>
      <c r="M119" s="156">
        <v>42485</v>
      </c>
      <c r="N119" s="157">
        <v>198</v>
      </c>
      <c r="O119" s="540" t="s">
        <v>249</v>
      </c>
      <c r="P119" s="158"/>
      <c r="R119" s="160"/>
    </row>
    <row r="120" ht="17.25" customHeight="1" spans="1:18">
      <c r="A120" s="45">
        <v>4560051087</v>
      </c>
      <c r="B120" s="141" t="s">
        <v>69</v>
      </c>
      <c r="C120" s="142" t="s">
        <v>126</v>
      </c>
      <c r="D120" s="143">
        <v>1</v>
      </c>
      <c r="E120" s="49">
        <v>160</v>
      </c>
      <c r="F120" s="50" t="e">
        <f t="shared" si="2"/>
        <v>#N/A</v>
      </c>
      <c r="G120" s="144" t="s">
        <v>127</v>
      </c>
      <c r="H120" s="146" t="s">
        <v>48</v>
      </c>
      <c r="I120" s="152" t="s">
        <v>143</v>
      </c>
      <c r="J120" s="153">
        <v>42485</v>
      </c>
      <c r="K120" s="154" t="s">
        <v>88</v>
      </c>
      <c r="L120" s="155">
        <v>42488</v>
      </c>
      <c r="M120" s="156">
        <v>42485</v>
      </c>
      <c r="N120" s="157">
        <v>198</v>
      </c>
      <c r="O120" s="157">
        <v>837154</v>
      </c>
      <c r="P120" s="158"/>
      <c r="R120" s="160"/>
    </row>
    <row r="121" ht="17.25" customHeight="1" spans="1:18">
      <c r="A121" s="45">
        <v>4560051088</v>
      </c>
      <c r="B121" s="141" t="s">
        <v>69</v>
      </c>
      <c r="C121" s="142" t="s">
        <v>65</v>
      </c>
      <c r="D121" s="143">
        <v>1</v>
      </c>
      <c r="E121" s="49">
        <v>200</v>
      </c>
      <c r="F121" s="50" t="e">
        <f t="shared" si="2"/>
        <v>#N/A</v>
      </c>
      <c r="G121" s="144">
        <v>208</v>
      </c>
      <c r="H121" s="145" t="s">
        <v>73</v>
      </c>
      <c r="I121" s="152" t="s">
        <v>143</v>
      </c>
      <c r="J121" s="153">
        <v>42485</v>
      </c>
      <c r="K121" s="154"/>
      <c r="L121" s="155">
        <v>42488</v>
      </c>
      <c r="M121" s="156">
        <v>42485</v>
      </c>
      <c r="N121" s="157"/>
      <c r="O121" s="157"/>
      <c r="P121" s="158">
        <v>42492</v>
      </c>
      <c r="R121" s="160"/>
    </row>
    <row r="122" ht="17.25" customHeight="1" spans="1:18">
      <c r="A122" s="45">
        <v>4560051089</v>
      </c>
      <c r="B122" s="141" t="s">
        <v>69</v>
      </c>
      <c r="C122" s="142" t="s">
        <v>126</v>
      </c>
      <c r="D122" s="143">
        <v>1</v>
      </c>
      <c r="E122" s="49">
        <v>160</v>
      </c>
      <c r="F122" s="50" t="e">
        <f t="shared" si="2"/>
        <v>#N/A</v>
      </c>
      <c r="G122" s="144" t="s">
        <v>130</v>
      </c>
      <c r="H122" s="146" t="s">
        <v>82</v>
      </c>
      <c r="I122" s="152" t="s">
        <v>143</v>
      </c>
      <c r="J122" s="153">
        <v>42485</v>
      </c>
      <c r="K122" s="154" t="s">
        <v>88</v>
      </c>
      <c r="L122" s="155">
        <v>42488</v>
      </c>
      <c r="M122" s="156">
        <v>42485</v>
      </c>
      <c r="N122" s="157">
        <v>198</v>
      </c>
      <c r="O122" s="540" t="s">
        <v>250</v>
      </c>
      <c r="P122" s="158"/>
      <c r="R122" s="160"/>
    </row>
    <row r="123" ht="17.25" customHeight="1" spans="1:18">
      <c r="A123" s="45">
        <v>4560051090</v>
      </c>
      <c r="B123" s="141" t="s">
        <v>69</v>
      </c>
      <c r="C123" s="142" t="s">
        <v>134</v>
      </c>
      <c r="D123" s="143">
        <v>1</v>
      </c>
      <c r="E123" s="49">
        <v>800</v>
      </c>
      <c r="F123" s="50" t="e">
        <f t="shared" si="2"/>
        <v>#N/A</v>
      </c>
      <c r="G123" s="144" t="s">
        <v>251</v>
      </c>
      <c r="H123" s="145" t="s">
        <v>252</v>
      </c>
      <c r="I123" s="152" t="s">
        <v>143</v>
      </c>
      <c r="J123" s="153">
        <v>42485</v>
      </c>
      <c r="K123" s="154" t="s">
        <v>253</v>
      </c>
      <c r="L123" s="155">
        <v>42488</v>
      </c>
      <c r="M123" s="156">
        <v>42485</v>
      </c>
      <c r="N123" s="157">
        <v>198</v>
      </c>
      <c r="O123" s="540" t="s">
        <v>254</v>
      </c>
      <c r="P123" s="158">
        <v>42492</v>
      </c>
      <c r="R123" s="160"/>
    </row>
    <row r="124" ht="17.25" customHeight="1" spans="1:18">
      <c r="A124" s="45">
        <v>4560051091</v>
      </c>
      <c r="B124" s="141" t="s">
        <v>69</v>
      </c>
      <c r="C124" s="142" t="s">
        <v>134</v>
      </c>
      <c r="D124" s="143">
        <v>1</v>
      </c>
      <c r="E124" s="49">
        <v>800</v>
      </c>
      <c r="F124" s="50" t="e">
        <f t="shared" si="2"/>
        <v>#N/A</v>
      </c>
      <c r="G124" s="144" t="s">
        <v>255</v>
      </c>
      <c r="H124" s="146" t="s">
        <v>48</v>
      </c>
      <c r="I124" s="152" t="s">
        <v>143</v>
      </c>
      <c r="J124" s="153">
        <v>42485</v>
      </c>
      <c r="K124" s="154" t="s">
        <v>88</v>
      </c>
      <c r="L124" s="155">
        <v>42488</v>
      </c>
      <c r="M124" s="156">
        <v>42485</v>
      </c>
      <c r="N124" s="157">
        <v>198</v>
      </c>
      <c r="O124" s="157">
        <v>252528</v>
      </c>
      <c r="P124" s="158"/>
      <c r="R124" s="160"/>
    </row>
    <row r="125" ht="17.25" customHeight="1" spans="1:18">
      <c r="A125" s="45">
        <v>4560051092</v>
      </c>
      <c r="B125" s="141" t="s">
        <v>69</v>
      </c>
      <c r="C125" s="142" t="s">
        <v>134</v>
      </c>
      <c r="D125" s="143">
        <v>1</v>
      </c>
      <c r="E125" s="49">
        <v>800</v>
      </c>
      <c r="F125" s="50" t="e">
        <f t="shared" si="2"/>
        <v>#N/A</v>
      </c>
      <c r="G125" s="144" t="s">
        <v>256</v>
      </c>
      <c r="H125" s="146" t="s">
        <v>48</v>
      </c>
      <c r="I125" s="152" t="s">
        <v>143</v>
      </c>
      <c r="J125" s="153">
        <v>42485</v>
      </c>
      <c r="K125" s="154" t="s">
        <v>88</v>
      </c>
      <c r="L125" s="155">
        <v>42488</v>
      </c>
      <c r="M125" s="156">
        <v>42485</v>
      </c>
      <c r="N125" s="157">
        <v>198</v>
      </c>
      <c r="O125" s="157">
        <v>101907</v>
      </c>
      <c r="P125" s="158"/>
      <c r="R125" s="160"/>
    </row>
    <row r="126" ht="17.25" customHeight="1" spans="1:18">
      <c r="A126" s="45">
        <v>4560051093</v>
      </c>
      <c r="B126" s="141" t="s">
        <v>140</v>
      </c>
      <c r="C126" s="142" t="s">
        <v>65</v>
      </c>
      <c r="D126" s="143">
        <v>1</v>
      </c>
      <c r="E126" s="49">
        <v>200</v>
      </c>
      <c r="F126" s="50" t="e">
        <f t="shared" si="2"/>
        <v>#N/A</v>
      </c>
      <c r="G126" s="144">
        <v>208</v>
      </c>
      <c r="H126" s="145" t="s">
        <v>73</v>
      </c>
      <c r="I126" s="152" t="s">
        <v>143</v>
      </c>
      <c r="J126" s="153">
        <v>42485</v>
      </c>
      <c r="K126" s="154"/>
      <c r="L126" s="155">
        <v>42488</v>
      </c>
      <c r="M126" s="156">
        <v>42485</v>
      </c>
      <c r="N126" s="157"/>
      <c r="O126" s="157"/>
      <c r="P126" s="158">
        <v>42492</v>
      </c>
      <c r="R126" s="160" t="s">
        <v>257</v>
      </c>
    </row>
    <row r="127" ht="17.25" customHeight="1" spans="1:18">
      <c r="A127" s="45">
        <v>4560051094</v>
      </c>
      <c r="B127" s="141" t="s">
        <v>69</v>
      </c>
      <c r="C127" s="142" t="s">
        <v>134</v>
      </c>
      <c r="D127" s="143">
        <v>1</v>
      </c>
      <c r="E127" s="49">
        <v>800</v>
      </c>
      <c r="F127" s="50" t="e">
        <f t="shared" si="2"/>
        <v>#N/A</v>
      </c>
      <c r="G127" s="144" t="s">
        <v>258</v>
      </c>
      <c r="H127" s="146" t="s">
        <v>151</v>
      </c>
      <c r="I127" s="152" t="s">
        <v>143</v>
      </c>
      <c r="J127" s="153">
        <v>42486</v>
      </c>
      <c r="K127" s="154" t="s">
        <v>88</v>
      </c>
      <c r="L127" s="155">
        <v>42488</v>
      </c>
      <c r="M127" s="156">
        <v>42486</v>
      </c>
      <c r="N127" s="157">
        <v>199</v>
      </c>
      <c r="O127" s="157">
        <v>141334</v>
      </c>
      <c r="P127" s="158"/>
      <c r="R127" s="160"/>
    </row>
    <row r="128" ht="17.25" customHeight="1" spans="1:18">
      <c r="A128" s="45">
        <v>4560051095</v>
      </c>
      <c r="B128" s="141" t="s">
        <v>69</v>
      </c>
      <c r="C128" s="142" t="s">
        <v>126</v>
      </c>
      <c r="D128" s="143">
        <v>1</v>
      </c>
      <c r="E128" s="49">
        <v>160</v>
      </c>
      <c r="F128" s="50" t="e">
        <f t="shared" ref="F128:F145" si="3">#N/A</f>
        <v>#N/A</v>
      </c>
      <c r="G128" s="144" t="s">
        <v>127</v>
      </c>
      <c r="H128" s="146" t="s">
        <v>151</v>
      </c>
      <c r="I128" s="152" t="s">
        <v>143</v>
      </c>
      <c r="J128" s="153">
        <v>42486</v>
      </c>
      <c r="K128" s="154" t="s">
        <v>88</v>
      </c>
      <c r="L128" s="155">
        <v>42488</v>
      </c>
      <c r="M128" s="156">
        <v>42486</v>
      </c>
      <c r="N128" s="540" t="s">
        <v>259</v>
      </c>
      <c r="O128" s="157">
        <v>132138</v>
      </c>
      <c r="P128" s="158"/>
      <c r="R128" s="160"/>
    </row>
    <row r="129" ht="17.25" customHeight="1" spans="1:18">
      <c r="A129" s="45">
        <v>4560051096</v>
      </c>
      <c r="B129" s="141" t="s">
        <v>69</v>
      </c>
      <c r="C129" s="142" t="s">
        <v>134</v>
      </c>
      <c r="D129" s="143">
        <v>1</v>
      </c>
      <c r="E129" s="49">
        <v>800</v>
      </c>
      <c r="F129" s="50" t="e">
        <f t="shared" si="3"/>
        <v>#N/A</v>
      </c>
      <c r="G129" s="144" t="s">
        <v>260</v>
      </c>
      <c r="H129" s="146" t="s">
        <v>82</v>
      </c>
      <c r="I129" s="152" t="s">
        <v>143</v>
      </c>
      <c r="J129" s="153">
        <v>42486</v>
      </c>
      <c r="K129" s="154" t="s">
        <v>88</v>
      </c>
      <c r="L129" s="155">
        <v>42488</v>
      </c>
      <c r="M129" s="156">
        <v>42486</v>
      </c>
      <c r="N129" s="540" t="s">
        <v>259</v>
      </c>
      <c r="O129" s="157">
        <v>750390</v>
      </c>
      <c r="P129" s="158"/>
      <c r="R129" s="160"/>
    </row>
    <row r="130" ht="17.25" customHeight="1" spans="1:18">
      <c r="A130" s="45">
        <v>4560051097</v>
      </c>
      <c r="B130" s="141" t="s">
        <v>69</v>
      </c>
      <c r="C130" s="142" t="s">
        <v>126</v>
      </c>
      <c r="D130" s="143">
        <v>1</v>
      </c>
      <c r="E130" s="49">
        <v>160</v>
      </c>
      <c r="F130" s="50" t="e">
        <f t="shared" si="3"/>
        <v>#N/A</v>
      </c>
      <c r="G130" s="144" t="s">
        <v>197</v>
      </c>
      <c r="H130" s="146" t="s">
        <v>82</v>
      </c>
      <c r="I130" s="152" t="s">
        <v>143</v>
      </c>
      <c r="J130" s="153">
        <v>42486</v>
      </c>
      <c r="K130" s="154" t="s">
        <v>88</v>
      </c>
      <c r="L130" s="155">
        <v>42488</v>
      </c>
      <c r="M130" s="156">
        <v>42486</v>
      </c>
      <c r="N130" s="157">
        <v>199</v>
      </c>
      <c r="O130" s="540" t="s">
        <v>261</v>
      </c>
      <c r="P130" s="158"/>
      <c r="R130" s="160"/>
    </row>
    <row r="131" ht="17.25" customHeight="1" spans="1:18">
      <c r="A131" s="45">
        <v>4560051098</v>
      </c>
      <c r="B131" s="141" t="s">
        <v>69</v>
      </c>
      <c r="C131" s="142" t="s">
        <v>126</v>
      </c>
      <c r="D131" s="143">
        <v>1</v>
      </c>
      <c r="E131" s="49">
        <v>160</v>
      </c>
      <c r="F131" s="50" t="e">
        <f t="shared" si="3"/>
        <v>#N/A</v>
      </c>
      <c r="G131" s="144" t="s">
        <v>183</v>
      </c>
      <c r="H131" s="146" t="s">
        <v>151</v>
      </c>
      <c r="I131" s="152" t="s">
        <v>143</v>
      </c>
      <c r="J131" s="153">
        <v>42486</v>
      </c>
      <c r="K131" s="154" t="s">
        <v>88</v>
      </c>
      <c r="L131" s="155">
        <v>42488</v>
      </c>
      <c r="M131" s="156">
        <v>42486</v>
      </c>
      <c r="N131" s="157">
        <v>199</v>
      </c>
      <c r="O131" s="540" t="s">
        <v>262</v>
      </c>
      <c r="P131" s="158"/>
      <c r="R131" s="160"/>
    </row>
    <row r="132" ht="17.25" customHeight="1" spans="1:18">
      <c r="A132" s="161">
        <v>4560051100</v>
      </c>
      <c r="B132" s="141" t="s">
        <v>69</v>
      </c>
      <c r="C132" s="142" t="s">
        <v>126</v>
      </c>
      <c r="D132" s="143">
        <v>1</v>
      </c>
      <c r="E132" s="49">
        <v>160</v>
      </c>
      <c r="F132" s="50" t="e">
        <f t="shared" si="3"/>
        <v>#N/A</v>
      </c>
      <c r="G132" s="144" t="s">
        <v>236</v>
      </c>
      <c r="H132" s="145" t="s">
        <v>73</v>
      </c>
      <c r="I132" s="152" t="s">
        <v>143</v>
      </c>
      <c r="J132" s="153">
        <v>42486</v>
      </c>
      <c r="K132" s="154"/>
      <c r="L132" s="155">
        <v>42488</v>
      </c>
      <c r="M132" s="156">
        <v>42486</v>
      </c>
      <c r="N132" s="157"/>
      <c r="O132" s="157"/>
      <c r="P132" s="158">
        <v>42492</v>
      </c>
      <c r="R132" s="160"/>
    </row>
    <row r="133" ht="17.25" customHeight="1" spans="1:18">
      <c r="A133" s="45">
        <v>4560059651</v>
      </c>
      <c r="B133" s="141" t="s">
        <v>69</v>
      </c>
      <c r="C133" s="142" t="s">
        <v>134</v>
      </c>
      <c r="D133" s="143">
        <v>1</v>
      </c>
      <c r="E133" s="49">
        <v>800</v>
      </c>
      <c r="F133" s="50" t="e">
        <f t="shared" si="3"/>
        <v>#N/A</v>
      </c>
      <c r="G133" s="144" t="s">
        <v>263</v>
      </c>
      <c r="H133" s="146" t="s">
        <v>48</v>
      </c>
      <c r="I133" s="152" t="s">
        <v>143</v>
      </c>
      <c r="J133" s="153">
        <v>42486</v>
      </c>
      <c r="K133" s="154" t="s">
        <v>88</v>
      </c>
      <c r="L133" s="155">
        <v>42488</v>
      </c>
      <c r="M133" s="156">
        <v>42486</v>
      </c>
      <c r="N133" s="157">
        <v>199</v>
      </c>
      <c r="O133" s="540" t="s">
        <v>264</v>
      </c>
      <c r="P133" s="158"/>
      <c r="R133" s="160"/>
    </row>
    <row r="134" ht="17.25" customHeight="1" spans="1:18">
      <c r="A134" s="45">
        <v>4560059652</v>
      </c>
      <c r="B134" s="141" t="s">
        <v>185</v>
      </c>
      <c r="C134" s="142" t="s">
        <v>65</v>
      </c>
      <c r="D134" s="143">
        <v>1</v>
      </c>
      <c r="E134" s="49">
        <v>200</v>
      </c>
      <c r="F134" s="50" t="e">
        <f t="shared" si="3"/>
        <v>#N/A</v>
      </c>
      <c r="G134" s="144">
        <v>208</v>
      </c>
      <c r="H134" s="146" t="s">
        <v>48</v>
      </c>
      <c r="I134" s="152" t="s">
        <v>128</v>
      </c>
      <c r="J134" s="153">
        <v>42487</v>
      </c>
      <c r="K134" s="154" t="s">
        <v>88</v>
      </c>
      <c r="L134" s="155">
        <v>42488</v>
      </c>
      <c r="M134" s="156">
        <v>42487</v>
      </c>
      <c r="N134" s="540" t="s">
        <v>265</v>
      </c>
      <c r="O134" s="540" t="s">
        <v>266</v>
      </c>
      <c r="P134" s="158"/>
      <c r="R134" s="160"/>
    </row>
    <row r="135" ht="17.25" customHeight="1" spans="1:18">
      <c r="A135" s="45">
        <v>4560059653</v>
      </c>
      <c r="B135" s="141" t="s">
        <v>69</v>
      </c>
      <c r="C135" s="142" t="s">
        <v>134</v>
      </c>
      <c r="D135" s="143">
        <v>1</v>
      </c>
      <c r="E135" s="49">
        <v>800</v>
      </c>
      <c r="F135" s="50" t="e">
        <f t="shared" si="3"/>
        <v>#N/A</v>
      </c>
      <c r="G135" s="144" t="s">
        <v>267</v>
      </c>
      <c r="H135" s="146" t="s">
        <v>48</v>
      </c>
      <c r="I135" s="152" t="s">
        <v>128</v>
      </c>
      <c r="J135" s="153">
        <v>42487</v>
      </c>
      <c r="K135" s="154" t="s">
        <v>88</v>
      </c>
      <c r="L135" s="155">
        <v>42488</v>
      </c>
      <c r="M135" s="156">
        <v>42487</v>
      </c>
      <c r="N135" s="157">
        <v>200</v>
      </c>
      <c r="O135" s="540" t="s">
        <v>268</v>
      </c>
      <c r="P135" s="158"/>
      <c r="R135" s="160"/>
    </row>
    <row r="136" ht="17.25" customHeight="1" spans="1:18">
      <c r="A136" s="45">
        <v>4560059654</v>
      </c>
      <c r="B136" s="141" t="s">
        <v>69</v>
      </c>
      <c r="C136" s="142" t="s">
        <v>126</v>
      </c>
      <c r="D136" s="143">
        <v>1</v>
      </c>
      <c r="E136" s="49">
        <v>160</v>
      </c>
      <c r="F136" s="50" t="e">
        <f t="shared" si="3"/>
        <v>#N/A</v>
      </c>
      <c r="G136" s="144" t="s">
        <v>127</v>
      </c>
      <c r="H136" s="146" t="s">
        <v>48</v>
      </c>
      <c r="I136" s="152" t="s">
        <v>128</v>
      </c>
      <c r="J136" s="153">
        <v>42487</v>
      </c>
      <c r="K136" s="154" t="s">
        <v>88</v>
      </c>
      <c r="L136" s="155">
        <v>42488</v>
      </c>
      <c r="M136" s="156">
        <v>42487</v>
      </c>
      <c r="N136" s="157">
        <v>200</v>
      </c>
      <c r="O136" s="540" t="s">
        <v>269</v>
      </c>
      <c r="P136" s="158"/>
      <c r="R136" s="160"/>
    </row>
    <row r="137" ht="17.25" customHeight="1" spans="1:18">
      <c r="A137" s="45">
        <v>4560059655</v>
      </c>
      <c r="B137" s="141" t="s">
        <v>69</v>
      </c>
      <c r="C137" s="142" t="s">
        <v>126</v>
      </c>
      <c r="D137" s="143">
        <v>1</v>
      </c>
      <c r="E137" s="49">
        <v>160</v>
      </c>
      <c r="F137" s="50" t="e">
        <f t="shared" si="3"/>
        <v>#N/A</v>
      </c>
      <c r="G137" s="144" t="s">
        <v>183</v>
      </c>
      <c r="H137" s="146" t="s">
        <v>48</v>
      </c>
      <c r="I137" s="152" t="s">
        <v>128</v>
      </c>
      <c r="J137" s="153">
        <v>42487</v>
      </c>
      <c r="K137" s="154" t="s">
        <v>88</v>
      </c>
      <c r="L137" s="155">
        <v>42488</v>
      </c>
      <c r="M137" s="156">
        <v>42487</v>
      </c>
      <c r="N137" s="157">
        <v>200</v>
      </c>
      <c r="O137" s="540" t="s">
        <v>270</v>
      </c>
      <c r="P137" s="158"/>
      <c r="R137" s="160"/>
    </row>
    <row r="138" ht="17.25" customHeight="1" spans="1:18">
      <c r="A138" s="45">
        <v>4560059656</v>
      </c>
      <c r="B138" s="141" t="s">
        <v>69</v>
      </c>
      <c r="C138" s="142" t="s">
        <v>65</v>
      </c>
      <c r="D138" s="143">
        <v>1</v>
      </c>
      <c r="E138" s="49">
        <v>200</v>
      </c>
      <c r="F138" s="50" t="e">
        <f t="shared" si="3"/>
        <v>#N/A</v>
      </c>
      <c r="G138" s="144">
        <v>208</v>
      </c>
      <c r="H138" s="146" t="s">
        <v>82</v>
      </c>
      <c r="I138" s="152" t="s">
        <v>128</v>
      </c>
      <c r="J138" s="153">
        <v>42487</v>
      </c>
      <c r="K138" s="154" t="s">
        <v>88</v>
      </c>
      <c r="L138" s="155">
        <v>42488</v>
      </c>
      <c r="M138" s="156">
        <v>42487</v>
      </c>
      <c r="N138" s="157">
        <v>200</v>
      </c>
      <c r="O138" s="540" t="s">
        <v>271</v>
      </c>
      <c r="P138" s="158"/>
      <c r="R138" s="160"/>
    </row>
    <row r="139" ht="17.25" customHeight="1" spans="1:18">
      <c r="A139" s="45">
        <v>4560059657</v>
      </c>
      <c r="B139" s="141" t="s">
        <v>69</v>
      </c>
      <c r="C139" s="142" t="s">
        <v>65</v>
      </c>
      <c r="D139" s="143">
        <v>1</v>
      </c>
      <c r="E139" s="49">
        <v>200</v>
      </c>
      <c r="F139" s="50" t="e">
        <f t="shared" si="3"/>
        <v>#N/A</v>
      </c>
      <c r="G139" s="144">
        <v>208</v>
      </c>
      <c r="H139" s="146" t="s">
        <v>151</v>
      </c>
      <c r="I139" s="152" t="s">
        <v>128</v>
      </c>
      <c r="J139" s="153">
        <v>42488</v>
      </c>
      <c r="K139" s="154" t="s">
        <v>88</v>
      </c>
      <c r="L139" s="155">
        <v>42488</v>
      </c>
      <c r="M139" s="156">
        <v>42488</v>
      </c>
      <c r="N139" s="157">
        <v>201</v>
      </c>
      <c r="O139" s="157">
        <v>148360</v>
      </c>
      <c r="P139" s="158"/>
      <c r="R139" s="160"/>
    </row>
    <row r="140" ht="17.25" customHeight="1" spans="1:18">
      <c r="A140" s="45">
        <v>4560059658</v>
      </c>
      <c r="B140" s="141" t="s">
        <v>69</v>
      </c>
      <c r="C140" s="142" t="s">
        <v>126</v>
      </c>
      <c r="D140" s="143">
        <v>1</v>
      </c>
      <c r="E140" s="49">
        <v>160</v>
      </c>
      <c r="F140" s="50" t="e">
        <f t="shared" si="3"/>
        <v>#N/A</v>
      </c>
      <c r="G140" s="144" t="s">
        <v>127</v>
      </c>
      <c r="H140" s="146" t="s">
        <v>48</v>
      </c>
      <c r="I140" s="152" t="s">
        <v>128</v>
      </c>
      <c r="J140" s="153">
        <v>42488</v>
      </c>
      <c r="K140" s="154" t="s">
        <v>88</v>
      </c>
      <c r="L140" s="155">
        <v>42488</v>
      </c>
      <c r="M140" s="156">
        <v>42488</v>
      </c>
      <c r="N140" s="157">
        <v>201</v>
      </c>
      <c r="O140" s="541" t="s">
        <v>272</v>
      </c>
      <c r="P140" s="158"/>
      <c r="R140" s="160"/>
    </row>
    <row r="141" ht="17.25" customHeight="1" spans="1:18">
      <c r="A141" s="45">
        <v>4560059659</v>
      </c>
      <c r="B141" s="141" t="s">
        <v>69</v>
      </c>
      <c r="C141" s="142" t="s">
        <v>126</v>
      </c>
      <c r="D141" s="143">
        <v>1</v>
      </c>
      <c r="E141" s="49">
        <v>160</v>
      </c>
      <c r="F141" s="50" t="e">
        <f t="shared" si="3"/>
        <v>#N/A</v>
      </c>
      <c r="G141" s="144" t="s">
        <v>129</v>
      </c>
      <c r="H141" s="146" t="s">
        <v>48</v>
      </c>
      <c r="I141" s="152" t="s">
        <v>128</v>
      </c>
      <c r="J141" s="153">
        <v>42488</v>
      </c>
      <c r="K141" s="154" t="s">
        <v>88</v>
      </c>
      <c r="L141" s="155">
        <v>42488</v>
      </c>
      <c r="M141" s="156">
        <v>42488</v>
      </c>
      <c r="N141" s="157">
        <v>201</v>
      </c>
      <c r="O141" s="541" t="s">
        <v>272</v>
      </c>
      <c r="P141" s="158"/>
      <c r="R141" s="160"/>
    </row>
    <row r="142" ht="17.25" customHeight="1" spans="1:18">
      <c r="A142" s="45">
        <v>4560059660</v>
      </c>
      <c r="B142" s="141" t="s">
        <v>69</v>
      </c>
      <c r="C142" s="142" t="s">
        <v>65</v>
      </c>
      <c r="D142" s="143">
        <v>1</v>
      </c>
      <c r="E142" s="49">
        <v>200</v>
      </c>
      <c r="F142" s="50" t="e">
        <f t="shared" si="3"/>
        <v>#N/A</v>
      </c>
      <c r="G142" s="144">
        <v>208</v>
      </c>
      <c r="H142" s="146" t="s">
        <v>48</v>
      </c>
      <c r="I142" s="152" t="s">
        <v>128</v>
      </c>
      <c r="J142" s="153">
        <v>42488</v>
      </c>
      <c r="K142" s="154" t="s">
        <v>88</v>
      </c>
      <c r="L142" s="155">
        <v>42488</v>
      </c>
      <c r="M142" s="156">
        <v>42488</v>
      </c>
      <c r="N142" s="157">
        <v>201</v>
      </c>
      <c r="O142" s="540" t="s">
        <v>273</v>
      </c>
      <c r="P142" s="158"/>
      <c r="R142" s="160"/>
    </row>
    <row r="143" ht="17.25" customHeight="1" spans="1:18">
      <c r="A143" s="45">
        <v>4560059661</v>
      </c>
      <c r="B143" s="141" t="s">
        <v>171</v>
      </c>
      <c r="C143" s="142" t="s">
        <v>65</v>
      </c>
      <c r="D143" s="143">
        <v>1</v>
      </c>
      <c r="E143" s="49">
        <v>200</v>
      </c>
      <c r="F143" s="50" t="e">
        <f t="shared" si="3"/>
        <v>#N/A</v>
      </c>
      <c r="G143" s="144">
        <v>208</v>
      </c>
      <c r="H143" s="146" t="s">
        <v>48</v>
      </c>
      <c r="I143" s="152" t="s">
        <v>128</v>
      </c>
      <c r="J143" s="153">
        <v>42488</v>
      </c>
      <c r="K143" s="154" t="s">
        <v>88</v>
      </c>
      <c r="L143" s="155">
        <v>42488</v>
      </c>
      <c r="M143" s="156">
        <v>42488</v>
      </c>
      <c r="N143" s="157">
        <v>201</v>
      </c>
      <c r="O143" s="540" t="s">
        <v>274</v>
      </c>
      <c r="P143" s="158"/>
      <c r="R143" s="160"/>
    </row>
    <row r="144" ht="17.25" customHeight="1" spans="1:18">
      <c r="A144" s="45">
        <v>4560059662</v>
      </c>
      <c r="B144" s="141" t="s">
        <v>75</v>
      </c>
      <c r="C144" s="142" t="s">
        <v>65</v>
      </c>
      <c r="D144" s="143">
        <v>1</v>
      </c>
      <c r="E144" s="49">
        <v>200</v>
      </c>
      <c r="F144" s="50" t="e">
        <f t="shared" si="3"/>
        <v>#N/A</v>
      </c>
      <c r="G144" s="144">
        <v>208</v>
      </c>
      <c r="H144" s="146" t="s">
        <v>48</v>
      </c>
      <c r="I144" s="152" t="s">
        <v>128</v>
      </c>
      <c r="J144" s="153">
        <v>42488</v>
      </c>
      <c r="K144" s="154" t="s">
        <v>88</v>
      </c>
      <c r="L144" s="155">
        <v>42488</v>
      </c>
      <c r="M144" s="156">
        <v>42488</v>
      </c>
      <c r="N144" s="157">
        <v>201</v>
      </c>
      <c r="O144" s="540" t="s">
        <v>275</v>
      </c>
      <c r="P144" s="158"/>
      <c r="R144" s="160"/>
    </row>
    <row r="145" ht="17.25" customHeight="1" spans="1:18">
      <c r="A145" s="45">
        <v>4560059663</v>
      </c>
      <c r="B145" s="141" t="s">
        <v>69</v>
      </c>
      <c r="C145" s="142" t="s">
        <v>126</v>
      </c>
      <c r="D145" s="143">
        <v>1</v>
      </c>
      <c r="E145" s="49">
        <v>160</v>
      </c>
      <c r="F145" s="50" t="e">
        <f t="shared" si="3"/>
        <v>#N/A</v>
      </c>
      <c r="G145" s="144" t="s">
        <v>130</v>
      </c>
      <c r="H145" s="146" t="s">
        <v>48</v>
      </c>
      <c r="I145" s="152" t="s">
        <v>128</v>
      </c>
      <c r="J145" s="153">
        <v>42488</v>
      </c>
      <c r="K145" s="154" t="s">
        <v>88</v>
      </c>
      <c r="L145" s="155">
        <v>42488</v>
      </c>
      <c r="M145" s="156">
        <v>42488</v>
      </c>
      <c r="N145" s="157">
        <v>201</v>
      </c>
      <c r="O145" s="157">
        <v>436720</v>
      </c>
      <c r="P145" s="158"/>
      <c r="R145" s="160"/>
    </row>
    <row r="146" ht="17.25" customHeight="1" spans="1:18">
      <c r="A146" s="45">
        <v>4560059664</v>
      </c>
      <c r="B146" s="141" t="s">
        <v>69</v>
      </c>
      <c r="C146" s="142" t="s">
        <v>65</v>
      </c>
      <c r="D146" s="143">
        <v>1</v>
      </c>
      <c r="E146" s="49">
        <v>200</v>
      </c>
      <c r="F146" s="50">
        <f>E146*D146</f>
        <v>200</v>
      </c>
      <c r="G146" s="144">
        <v>208</v>
      </c>
      <c r="H146" s="145" t="s">
        <v>73</v>
      </c>
      <c r="I146" s="152" t="s">
        <v>128</v>
      </c>
      <c r="J146" s="153">
        <v>42489</v>
      </c>
      <c r="K146" s="154"/>
      <c r="L146" s="155">
        <v>42489</v>
      </c>
      <c r="M146" s="156">
        <v>42489</v>
      </c>
      <c r="N146" s="157"/>
      <c r="O146" s="157"/>
      <c r="P146" s="158">
        <v>42492</v>
      </c>
      <c r="R146" s="160"/>
    </row>
    <row r="147" ht="17.25" customHeight="1" spans="1:18">
      <c r="A147" s="45">
        <v>4560059665</v>
      </c>
      <c r="B147" s="141" t="s">
        <v>69</v>
      </c>
      <c r="C147" s="142" t="s">
        <v>134</v>
      </c>
      <c r="D147" s="143">
        <v>1</v>
      </c>
      <c r="E147" s="49">
        <v>800</v>
      </c>
      <c r="F147" s="50" t="e">
        <f>#N/A</f>
        <v>#N/A</v>
      </c>
      <c r="G147" s="144" t="s">
        <v>276</v>
      </c>
      <c r="H147" s="146" t="s">
        <v>48</v>
      </c>
      <c r="I147" s="152" t="s">
        <v>128</v>
      </c>
      <c r="J147" s="153">
        <v>42489</v>
      </c>
      <c r="K147" s="154" t="s">
        <v>88</v>
      </c>
      <c r="L147" s="155">
        <v>42489</v>
      </c>
      <c r="M147" s="156">
        <v>42489</v>
      </c>
      <c r="N147" s="157">
        <v>202</v>
      </c>
      <c r="O147" s="540" t="s">
        <v>277</v>
      </c>
      <c r="P147" s="158"/>
      <c r="R147" s="160"/>
    </row>
    <row r="148" ht="17.25" customHeight="1" spans="1:18">
      <c r="A148" s="45">
        <v>4560059666</v>
      </c>
      <c r="B148" s="141" t="s">
        <v>75</v>
      </c>
      <c r="C148" s="142" t="s">
        <v>65</v>
      </c>
      <c r="D148" s="143">
        <v>1</v>
      </c>
      <c r="E148" s="49">
        <v>200</v>
      </c>
      <c r="F148" s="50" t="e">
        <f>#N/A</f>
        <v>#N/A</v>
      </c>
      <c r="G148" s="144">
        <v>208</v>
      </c>
      <c r="H148" s="146" t="s">
        <v>82</v>
      </c>
      <c r="I148" s="152" t="s">
        <v>128</v>
      </c>
      <c r="J148" s="153">
        <v>42489</v>
      </c>
      <c r="K148" s="154" t="s">
        <v>88</v>
      </c>
      <c r="L148" s="155">
        <v>42489</v>
      </c>
      <c r="M148" s="156">
        <v>42489</v>
      </c>
      <c r="N148" s="157">
        <v>202</v>
      </c>
      <c r="O148" s="540" t="s">
        <v>278</v>
      </c>
      <c r="P148" s="158"/>
      <c r="R148" s="160"/>
    </row>
    <row r="149" ht="17.25" customHeight="1" spans="1:18">
      <c r="A149" s="45">
        <v>4560059667</v>
      </c>
      <c r="B149" s="141" t="s">
        <v>69</v>
      </c>
      <c r="C149" s="142" t="s">
        <v>134</v>
      </c>
      <c r="D149" s="143">
        <v>1</v>
      </c>
      <c r="E149" s="49">
        <v>800</v>
      </c>
      <c r="F149" s="50" t="e">
        <f>#N/A</f>
        <v>#N/A</v>
      </c>
      <c r="G149" s="144" t="s">
        <v>279</v>
      </c>
      <c r="H149" s="146" t="s">
        <v>48</v>
      </c>
      <c r="I149" s="152" t="s">
        <v>128</v>
      </c>
      <c r="J149" s="153">
        <v>42489</v>
      </c>
      <c r="K149" s="154" t="s">
        <v>88</v>
      </c>
      <c r="L149" s="155">
        <v>42489</v>
      </c>
      <c r="M149" s="156">
        <v>42489</v>
      </c>
      <c r="N149" s="157">
        <v>202</v>
      </c>
      <c r="O149" s="157">
        <v>766885</v>
      </c>
      <c r="P149" s="158"/>
      <c r="R149" s="160"/>
    </row>
    <row r="150" ht="17.25" customHeight="1" spans="1:18">
      <c r="A150" s="54">
        <v>4560059668</v>
      </c>
      <c r="B150" s="162" t="s">
        <v>69</v>
      </c>
      <c r="C150" s="56" t="s">
        <v>134</v>
      </c>
      <c r="D150" s="163">
        <v>1</v>
      </c>
      <c r="E150" s="58">
        <v>800</v>
      </c>
      <c r="F150" s="59" t="e">
        <f>#N/A</f>
        <v>#N/A</v>
      </c>
      <c r="G150" s="164" t="s">
        <v>280</v>
      </c>
      <c r="H150" s="165" t="s">
        <v>151</v>
      </c>
      <c r="I150" s="173" t="s">
        <v>128</v>
      </c>
      <c r="J150" s="174">
        <v>42489</v>
      </c>
      <c r="K150" s="175" t="s">
        <v>88</v>
      </c>
      <c r="L150" s="176">
        <v>42489</v>
      </c>
      <c r="M150" s="177">
        <v>42489</v>
      </c>
      <c r="N150" s="178">
        <v>202</v>
      </c>
      <c r="O150" s="178">
        <v>150055</v>
      </c>
      <c r="P150" s="179"/>
      <c r="R150" s="160"/>
    </row>
    <row r="151" ht="20.25" customHeight="1" spans="1:15">
      <c r="A151" s="166" t="s">
        <v>95</v>
      </c>
      <c r="B151" s="167"/>
      <c r="C151" s="167"/>
      <c r="D151" s="168"/>
      <c r="E151" s="169"/>
      <c r="F151" s="170" t="e">
        <f>SUM(F7:F150)</f>
        <v>#N/A</v>
      </c>
      <c r="G151" s="171"/>
      <c r="H151" s="172"/>
      <c r="I151" s="172"/>
      <c r="J151" s="180"/>
      <c r="K151" s="180"/>
      <c r="L151" s="172"/>
      <c r="N151" s="12"/>
      <c r="O151" s="12"/>
    </row>
    <row r="154" spans="1:1">
      <c r="A154" s="12" t="s">
        <v>60</v>
      </c>
    </row>
  </sheetData>
  <mergeCells count="13">
    <mergeCell ref="A1:G1"/>
    <mergeCell ref="L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dataValidations count="2">
    <dataValidation type="list" allowBlank="1" showInputMessage="1" showErrorMessage="1" sqref="C7:C150">
      <formula1>"UPGRADE,SEAT RESERVED SERVICE FEE,EXCESS BAGGAGE"</formula1>
    </dataValidation>
    <dataValidation type="list" allowBlank="1" showInputMessage="1" showErrorMessage="1" sqref="H7:H150">
      <formula1>"CASH,DEBIT, CHEQUE, VISA, AX, MASTERCARD, AIRPOINT, VOID, DEBIT &amp; CASH, VISA &amp; CASH, MASTER &amp; CASH"</formula1>
    </dataValidation>
  </dataValidations>
  <printOptions horizontalCentered="1"/>
  <pageMargins left="0" right="0" top="0.236220472440945" bottom="0.511811023622047" header="0.393700787401575" footer="0.236220472440945"/>
  <pageSetup paperSize="1" scale="91" orientation="landscape"/>
  <headerFooter alignWithMargins="0">
    <oddFooter>&amp;L&amp;"Arial,常规"&amp;8China Eastern Airlines
&amp;"細明體,常规"多&amp;"宋体,常规"伦&amp;"細明體,常规"多&amp;"宋体,常规"营业&amp;"細明體,常规"部&amp;R&amp;"Arial,常规"&amp;8Prepared by MIKE/GIA&amp;10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441"/>
  <sheetViews>
    <sheetView zoomScale="85" zoomScaleNormal="85" workbookViewId="0">
      <selection activeCell="B3" sqref="B3"/>
    </sheetView>
  </sheetViews>
  <sheetFormatPr defaultColWidth="8" defaultRowHeight="13.2"/>
  <cols>
    <col min="1" max="1" width="14.7" style="12" customWidth="1"/>
    <col min="2" max="2" width="15.7" style="12" customWidth="1"/>
    <col min="3" max="3" width="25.6" style="12" customWidth="1"/>
    <col min="4" max="4" width="19.1" style="24" customWidth="1"/>
    <col min="5" max="5" width="21.9" style="24" customWidth="1"/>
    <col min="6" max="6" width="16.1" style="24" customWidth="1"/>
    <col min="7" max="7" width="15.9" style="12" customWidth="1"/>
    <col min="8" max="8" width="36" style="98" customWidth="1"/>
    <col min="9" max="9" width="14.9" style="14" customWidth="1"/>
    <col min="10" max="10" width="12.7" style="99" customWidth="1"/>
    <col min="11" max="11" width="11" style="100" customWidth="1"/>
    <col min="12" max="12" width="20.9" style="12" customWidth="1"/>
    <col min="13" max="13" width="13.9" style="12" customWidth="1"/>
    <col min="14" max="14" width="11.5" style="12" customWidth="1"/>
    <col min="15" max="15" width="10.4" style="24" customWidth="1"/>
    <col min="16" max="16" width="10.5" style="12" customWidth="1"/>
    <col min="17" max="17" width="5" style="12" customWidth="1"/>
    <col min="18" max="18" width="9.9" style="12" customWidth="1"/>
    <col min="19" max="16384" width="8" style="12"/>
  </cols>
  <sheetData>
    <row r="1" ht="39.75" customHeight="1" spans="1:12">
      <c r="A1" s="17" t="s">
        <v>58</v>
      </c>
      <c r="B1" s="17"/>
      <c r="C1" s="17"/>
      <c r="D1" s="17"/>
      <c r="E1" s="17"/>
      <c r="F1" s="17"/>
      <c r="G1" s="17"/>
      <c r="H1" s="17"/>
      <c r="I1" s="111"/>
      <c r="J1" s="17"/>
      <c r="K1" s="112"/>
      <c r="L1" s="113"/>
    </row>
    <row r="2" ht="20.25" customHeight="1" spans="1:15">
      <c r="A2" s="18" t="s">
        <v>15</v>
      </c>
      <c r="B2" s="19" t="s">
        <v>59</v>
      </c>
      <c r="C2" s="19"/>
      <c r="D2" s="21" t="s">
        <v>60</v>
      </c>
      <c r="E2" s="21"/>
      <c r="F2" s="21"/>
      <c r="G2" s="20"/>
      <c r="H2" s="101"/>
      <c r="O2" s="12"/>
    </row>
    <row r="3" ht="19.5" customHeight="1" spans="1:16">
      <c r="A3" s="19" t="s">
        <v>17</v>
      </c>
      <c r="B3" s="102" t="s">
        <v>18</v>
      </c>
      <c r="C3" s="20"/>
      <c r="D3" s="21"/>
      <c r="E3" s="21"/>
      <c r="F3" s="21"/>
      <c r="G3" s="20"/>
      <c r="H3" s="103"/>
      <c r="N3" s="114" t="s">
        <v>281</v>
      </c>
      <c r="O3" s="542" t="s">
        <v>282</v>
      </c>
      <c r="P3" s="115"/>
    </row>
    <row r="4" ht="18.6" customHeight="1" spans="1:16">
      <c r="A4" s="19"/>
      <c r="B4" s="102"/>
      <c r="C4" s="20"/>
      <c r="D4" s="21"/>
      <c r="E4" s="21"/>
      <c r="F4" s="21"/>
      <c r="G4" s="20"/>
      <c r="H4" s="103"/>
      <c r="N4" s="114" t="s">
        <v>283</v>
      </c>
      <c r="O4" s="542" t="s">
        <v>284</v>
      </c>
      <c r="P4" s="115"/>
    </row>
    <row r="5" s="13" customFormat="1" ht="22.5" customHeight="1" spans="1:16">
      <c r="A5" s="30" t="s">
        <v>64</v>
      </c>
      <c r="B5" s="29" t="s">
        <v>20</v>
      </c>
      <c r="C5" s="29" t="s">
        <v>123</v>
      </c>
      <c r="D5" s="30" t="s">
        <v>124</v>
      </c>
      <c r="E5" s="30" t="s">
        <v>285</v>
      </c>
      <c r="F5" s="30" t="s">
        <v>286</v>
      </c>
      <c r="G5" s="30" t="s">
        <v>67</v>
      </c>
      <c r="H5" s="104" t="s">
        <v>33</v>
      </c>
      <c r="I5" s="30" t="s">
        <v>35</v>
      </c>
      <c r="J5" s="30" t="s">
        <v>36</v>
      </c>
      <c r="K5" s="116" t="s">
        <v>37</v>
      </c>
      <c r="L5" s="30" t="s">
        <v>38</v>
      </c>
      <c r="M5" s="117" t="s">
        <v>38</v>
      </c>
      <c r="N5" s="118"/>
      <c r="O5" s="118"/>
      <c r="P5" s="119"/>
    </row>
    <row r="6" s="13" customFormat="1" ht="41.4" customHeight="1" spans="1:16">
      <c r="A6" s="35"/>
      <c r="B6" s="34"/>
      <c r="C6" s="34"/>
      <c r="D6" s="35"/>
      <c r="E6" s="35"/>
      <c r="F6" s="35"/>
      <c r="G6" s="35"/>
      <c r="H6" s="105"/>
      <c r="I6" s="35"/>
      <c r="J6" s="35"/>
      <c r="K6" s="120"/>
      <c r="L6" s="35"/>
      <c r="M6" s="121" t="s">
        <v>39</v>
      </c>
      <c r="N6" s="122" t="s">
        <v>40</v>
      </c>
      <c r="O6" s="122" t="s">
        <v>41</v>
      </c>
      <c r="P6" s="123" t="s">
        <v>42</v>
      </c>
    </row>
    <row r="7" ht="20.4" customHeight="1" spans="1:16">
      <c r="A7" s="106">
        <v>4563924163</v>
      </c>
      <c r="B7" s="106" t="s">
        <v>69</v>
      </c>
      <c r="C7" s="107" t="s">
        <v>134</v>
      </c>
      <c r="D7" s="108">
        <v>1</v>
      </c>
      <c r="E7" s="108">
        <v>4000</v>
      </c>
      <c r="F7" s="109"/>
      <c r="G7" s="42">
        <f t="shared" ref="G7:G16" si="0">D7*E7</f>
        <v>4000</v>
      </c>
      <c r="H7" s="110" t="s">
        <v>287</v>
      </c>
      <c r="I7" s="124" t="s">
        <v>48</v>
      </c>
      <c r="J7" s="125" t="s">
        <v>70</v>
      </c>
      <c r="K7" s="126" t="s">
        <v>288</v>
      </c>
      <c r="L7" s="127"/>
      <c r="M7" s="128"/>
      <c r="N7" s="128"/>
      <c r="O7" s="129"/>
      <c r="P7" s="130"/>
    </row>
    <row r="8" ht="20.4" customHeight="1" spans="1:16">
      <c r="A8" s="106">
        <v>4563924164</v>
      </c>
      <c r="B8" s="106" t="s">
        <v>69</v>
      </c>
      <c r="C8" s="107" t="s">
        <v>65</v>
      </c>
      <c r="D8" s="108">
        <v>1</v>
      </c>
      <c r="E8" s="108">
        <v>195</v>
      </c>
      <c r="F8" s="109"/>
      <c r="G8" s="42">
        <f t="shared" si="0"/>
        <v>195</v>
      </c>
      <c r="H8" s="110" t="s">
        <v>289</v>
      </c>
      <c r="I8" s="124" t="s">
        <v>290</v>
      </c>
      <c r="J8" s="125" t="s">
        <v>70</v>
      </c>
      <c r="K8" s="126" t="s">
        <v>288</v>
      </c>
      <c r="L8" s="127"/>
      <c r="M8" s="128"/>
      <c r="N8" s="128"/>
      <c r="O8" s="129"/>
      <c r="P8" s="130"/>
    </row>
    <row r="9" ht="20.4" customHeight="1" spans="1:16">
      <c r="A9" s="106">
        <v>4563924165</v>
      </c>
      <c r="B9" s="106" t="s">
        <v>69</v>
      </c>
      <c r="C9" s="107" t="s">
        <v>65</v>
      </c>
      <c r="D9" s="108">
        <v>1</v>
      </c>
      <c r="E9" s="108">
        <v>195</v>
      </c>
      <c r="F9" s="109"/>
      <c r="G9" s="42">
        <f t="shared" si="0"/>
        <v>195</v>
      </c>
      <c r="H9" s="110" t="s">
        <v>291</v>
      </c>
      <c r="I9" s="124" t="s">
        <v>82</v>
      </c>
      <c r="J9" s="125" t="s">
        <v>70</v>
      </c>
      <c r="K9" s="126" t="s">
        <v>288</v>
      </c>
      <c r="L9" s="127"/>
      <c r="M9" s="128"/>
      <c r="N9" s="128"/>
      <c r="O9" s="129"/>
      <c r="P9" s="130"/>
    </row>
    <row r="10" ht="20.4" customHeight="1" spans="1:16">
      <c r="A10" s="106">
        <v>4563924166</v>
      </c>
      <c r="B10" s="106" t="s">
        <v>69</v>
      </c>
      <c r="C10" s="107" t="s">
        <v>126</v>
      </c>
      <c r="D10" s="108">
        <v>1</v>
      </c>
      <c r="E10" s="108">
        <v>175</v>
      </c>
      <c r="F10" s="109"/>
      <c r="G10" s="42">
        <f t="shared" si="0"/>
        <v>175</v>
      </c>
      <c r="H10" s="110" t="s">
        <v>292</v>
      </c>
      <c r="I10" s="124" t="s">
        <v>293</v>
      </c>
      <c r="J10" s="125" t="s">
        <v>70</v>
      </c>
      <c r="K10" s="126" t="s">
        <v>288</v>
      </c>
      <c r="L10" s="127"/>
      <c r="M10" s="128"/>
      <c r="N10" s="128"/>
      <c r="O10" s="129"/>
      <c r="P10" s="130"/>
    </row>
    <row r="11" ht="20.4" customHeight="1" spans="1:16">
      <c r="A11" s="106">
        <v>4563924167</v>
      </c>
      <c r="B11" s="106" t="s">
        <v>69</v>
      </c>
      <c r="C11" s="107" t="s">
        <v>65</v>
      </c>
      <c r="D11" s="108">
        <v>1</v>
      </c>
      <c r="E11" s="108">
        <v>253</v>
      </c>
      <c r="F11" s="109"/>
      <c r="G11" s="42">
        <f t="shared" si="0"/>
        <v>253</v>
      </c>
      <c r="H11" s="110"/>
      <c r="I11" s="124" t="s">
        <v>48</v>
      </c>
      <c r="J11" s="125" t="s">
        <v>70</v>
      </c>
      <c r="K11" s="126" t="s">
        <v>288</v>
      </c>
      <c r="L11" s="127"/>
      <c r="M11" s="128"/>
      <c r="N11" s="128"/>
      <c r="O11" s="129"/>
      <c r="P11" s="130"/>
    </row>
    <row r="12" ht="20.4" customHeight="1" spans="1:16">
      <c r="A12" s="106">
        <v>4563924168</v>
      </c>
      <c r="B12" s="106" t="s">
        <v>69</v>
      </c>
      <c r="C12" s="107" t="s">
        <v>65</v>
      </c>
      <c r="D12" s="108">
        <v>1</v>
      </c>
      <c r="E12" s="108">
        <v>253</v>
      </c>
      <c r="F12" s="109"/>
      <c r="G12" s="42">
        <f t="shared" si="0"/>
        <v>253</v>
      </c>
      <c r="H12" s="110"/>
      <c r="I12" s="124" t="s">
        <v>48</v>
      </c>
      <c r="J12" s="125" t="s">
        <v>70</v>
      </c>
      <c r="K12" s="126" t="s">
        <v>288</v>
      </c>
      <c r="L12" s="127"/>
      <c r="M12" s="128"/>
      <c r="N12" s="128"/>
      <c r="O12" s="129"/>
      <c r="P12" s="130"/>
    </row>
    <row r="13" ht="20.4" customHeight="1" spans="1:16">
      <c r="A13" s="106">
        <v>4563924169</v>
      </c>
      <c r="B13" s="106" t="s">
        <v>69</v>
      </c>
      <c r="C13" s="107" t="s">
        <v>65</v>
      </c>
      <c r="D13" s="108">
        <v>1</v>
      </c>
      <c r="E13" s="108">
        <v>253</v>
      </c>
      <c r="F13" s="109"/>
      <c r="G13" s="42">
        <f t="shared" si="0"/>
        <v>253</v>
      </c>
      <c r="H13" s="110"/>
      <c r="I13" s="124" t="s">
        <v>293</v>
      </c>
      <c r="J13" s="125" t="s">
        <v>70</v>
      </c>
      <c r="K13" s="126" t="s">
        <v>288</v>
      </c>
      <c r="L13" s="127"/>
      <c r="M13" s="128"/>
      <c r="N13" s="128"/>
      <c r="O13" s="129"/>
      <c r="P13" s="130"/>
    </row>
    <row r="14" ht="20.4" customHeight="1" spans="1:16">
      <c r="A14" s="106">
        <v>4563924170</v>
      </c>
      <c r="B14" s="106" t="s">
        <v>69</v>
      </c>
      <c r="C14" s="107" t="s">
        <v>126</v>
      </c>
      <c r="D14" s="108">
        <v>1</v>
      </c>
      <c r="E14" s="108">
        <v>175</v>
      </c>
      <c r="F14" s="109"/>
      <c r="G14" s="42">
        <f t="shared" si="0"/>
        <v>175</v>
      </c>
      <c r="H14" s="110" t="s">
        <v>294</v>
      </c>
      <c r="I14" s="124" t="s">
        <v>82</v>
      </c>
      <c r="J14" s="125" t="s">
        <v>70</v>
      </c>
      <c r="K14" s="126" t="s">
        <v>288</v>
      </c>
      <c r="L14" s="127"/>
      <c r="M14" s="128"/>
      <c r="N14" s="128"/>
      <c r="O14" s="129"/>
      <c r="P14" s="130"/>
    </row>
    <row r="15" ht="20.4" customHeight="1" spans="1:16">
      <c r="A15" s="106">
        <v>4563924171</v>
      </c>
      <c r="B15" s="106" t="s">
        <v>69</v>
      </c>
      <c r="C15" s="107" t="s">
        <v>126</v>
      </c>
      <c r="D15" s="108">
        <v>1</v>
      </c>
      <c r="E15" s="108">
        <v>175</v>
      </c>
      <c r="F15" s="109"/>
      <c r="G15" s="42">
        <f t="shared" si="0"/>
        <v>175</v>
      </c>
      <c r="H15" s="110" t="s">
        <v>130</v>
      </c>
      <c r="I15" s="124" t="s">
        <v>151</v>
      </c>
      <c r="J15" s="125" t="s">
        <v>70</v>
      </c>
      <c r="K15" s="126" t="s">
        <v>295</v>
      </c>
      <c r="L15" s="127"/>
      <c r="M15" s="128"/>
      <c r="N15" s="128"/>
      <c r="O15" s="129"/>
      <c r="P15" s="130"/>
    </row>
    <row r="16" ht="20.4" customHeight="1" spans="1:16">
      <c r="A16" s="106">
        <v>4563924172</v>
      </c>
      <c r="B16" s="106" t="s">
        <v>69</v>
      </c>
      <c r="C16" s="107" t="s">
        <v>126</v>
      </c>
      <c r="D16" s="108">
        <v>1</v>
      </c>
      <c r="E16" s="108">
        <v>175</v>
      </c>
      <c r="F16" s="109"/>
      <c r="G16" s="42">
        <f t="shared" si="0"/>
        <v>175</v>
      </c>
      <c r="H16" s="110" t="s">
        <v>183</v>
      </c>
      <c r="I16" s="124" t="s">
        <v>48</v>
      </c>
      <c r="J16" s="125" t="s">
        <v>70</v>
      </c>
      <c r="K16" s="126" t="s">
        <v>295</v>
      </c>
      <c r="L16" s="127"/>
      <c r="M16" s="128"/>
      <c r="N16" s="128"/>
      <c r="O16" s="129"/>
      <c r="P16" s="130"/>
    </row>
    <row r="17" ht="20.4" customHeight="1" spans="1:16">
      <c r="A17" s="106">
        <v>4563924173</v>
      </c>
      <c r="B17" s="106" t="s">
        <v>69</v>
      </c>
      <c r="C17" s="107" t="s">
        <v>65</v>
      </c>
      <c r="D17" s="108">
        <v>1</v>
      </c>
      <c r="E17" s="108">
        <v>234</v>
      </c>
      <c r="F17" s="109"/>
      <c r="G17" s="42">
        <f t="shared" ref="G17:G70" si="1">D17*E17</f>
        <v>234</v>
      </c>
      <c r="H17" s="110"/>
      <c r="I17" s="124" t="s">
        <v>48</v>
      </c>
      <c r="J17" s="125" t="s">
        <v>70</v>
      </c>
      <c r="K17" s="126" t="s">
        <v>295</v>
      </c>
      <c r="L17" s="127"/>
      <c r="M17" s="131"/>
      <c r="N17" s="131"/>
      <c r="O17" s="129"/>
      <c r="P17" s="130"/>
    </row>
    <row r="18" ht="20.4" customHeight="1" spans="1:16">
      <c r="A18" s="106">
        <v>4563924174</v>
      </c>
      <c r="B18" s="106" t="s">
        <v>69</v>
      </c>
      <c r="C18" s="107" t="s">
        <v>65</v>
      </c>
      <c r="D18" s="108">
        <v>1</v>
      </c>
      <c r="E18" s="108">
        <v>253</v>
      </c>
      <c r="F18" s="109"/>
      <c r="G18" s="42">
        <f t="shared" si="1"/>
        <v>253</v>
      </c>
      <c r="H18" s="110"/>
      <c r="I18" s="124" t="s">
        <v>48</v>
      </c>
      <c r="J18" s="125" t="s">
        <v>70</v>
      </c>
      <c r="K18" s="126" t="s">
        <v>295</v>
      </c>
      <c r="L18" s="127"/>
      <c r="M18" s="131"/>
      <c r="N18" s="131"/>
      <c r="O18" s="129"/>
      <c r="P18" s="130"/>
    </row>
    <row r="19" ht="20.4" customHeight="1" spans="1:16">
      <c r="A19" s="106">
        <v>4563924175</v>
      </c>
      <c r="B19" s="106" t="s">
        <v>69</v>
      </c>
      <c r="C19" s="107" t="s">
        <v>65</v>
      </c>
      <c r="D19" s="108">
        <v>1</v>
      </c>
      <c r="E19" s="108">
        <v>253</v>
      </c>
      <c r="F19" s="109"/>
      <c r="G19" s="42">
        <f t="shared" si="1"/>
        <v>253</v>
      </c>
      <c r="H19" s="110"/>
      <c r="I19" s="124" t="s">
        <v>48</v>
      </c>
      <c r="J19" s="125" t="s">
        <v>70</v>
      </c>
      <c r="K19" s="126" t="s">
        <v>295</v>
      </c>
      <c r="L19" s="127"/>
      <c r="M19" s="131"/>
      <c r="N19" s="131"/>
      <c r="O19" s="129"/>
      <c r="P19" s="130"/>
    </row>
    <row r="20" ht="20.4" customHeight="1" spans="1:16">
      <c r="A20" s="106">
        <v>4563924176</v>
      </c>
      <c r="B20" s="106" t="s">
        <v>69</v>
      </c>
      <c r="C20" s="107" t="s">
        <v>65</v>
      </c>
      <c r="D20" s="108">
        <v>1</v>
      </c>
      <c r="E20" s="108">
        <v>253</v>
      </c>
      <c r="F20" s="109"/>
      <c r="G20" s="42">
        <f t="shared" si="1"/>
        <v>253</v>
      </c>
      <c r="H20" s="110"/>
      <c r="I20" s="124" t="s">
        <v>48</v>
      </c>
      <c r="J20" s="125" t="s">
        <v>70</v>
      </c>
      <c r="K20" s="126" t="s">
        <v>295</v>
      </c>
      <c r="L20" s="127"/>
      <c r="M20" s="131"/>
      <c r="N20" s="131"/>
      <c r="O20" s="129"/>
      <c r="P20" s="130"/>
    </row>
    <row r="21" ht="20.4" customHeight="1" spans="1:16">
      <c r="A21" s="106">
        <v>4563924177</v>
      </c>
      <c r="B21" s="106" t="s">
        <v>69</v>
      </c>
      <c r="C21" s="107" t="s">
        <v>65</v>
      </c>
      <c r="D21" s="108">
        <v>1</v>
      </c>
      <c r="E21" s="108">
        <v>253</v>
      </c>
      <c r="F21" s="109"/>
      <c r="G21" s="42">
        <f t="shared" si="1"/>
        <v>253</v>
      </c>
      <c r="H21" s="110" t="s">
        <v>296</v>
      </c>
      <c r="I21" s="124" t="s">
        <v>151</v>
      </c>
      <c r="J21" s="125" t="s">
        <v>70</v>
      </c>
      <c r="K21" s="126" t="s">
        <v>297</v>
      </c>
      <c r="L21" s="127"/>
      <c r="M21" s="131"/>
      <c r="N21" s="131"/>
      <c r="O21" s="129"/>
      <c r="P21" s="130"/>
    </row>
    <row r="22" ht="20.4" customHeight="1" spans="1:16">
      <c r="A22" s="106">
        <v>4563924178</v>
      </c>
      <c r="B22" s="106" t="s">
        <v>69</v>
      </c>
      <c r="C22" s="107" t="s">
        <v>65</v>
      </c>
      <c r="D22" s="108">
        <v>1</v>
      </c>
      <c r="E22" s="108">
        <v>253</v>
      </c>
      <c r="F22" s="109"/>
      <c r="G22" s="42">
        <f t="shared" si="1"/>
        <v>253</v>
      </c>
      <c r="H22" s="110"/>
      <c r="I22" s="124" t="s">
        <v>48</v>
      </c>
      <c r="J22" s="125" t="s">
        <v>70</v>
      </c>
      <c r="K22" s="126" t="s">
        <v>297</v>
      </c>
      <c r="L22" s="127"/>
      <c r="M22" s="131"/>
      <c r="N22" s="131"/>
      <c r="O22" s="129"/>
      <c r="P22" s="130"/>
    </row>
    <row r="23" ht="20.4" customHeight="1" spans="1:16">
      <c r="A23" s="106">
        <v>4563924179</v>
      </c>
      <c r="B23" s="106" t="s">
        <v>69</v>
      </c>
      <c r="C23" s="107" t="s">
        <v>65</v>
      </c>
      <c r="D23" s="108">
        <v>1</v>
      </c>
      <c r="E23" s="108">
        <v>195</v>
      </c>
      <c r="F23" s="109"/>
      <c r="G23" s="42">
        <f t="shared" si="1"/>
        <v>195</v>
      </c>
      <c r="H23" s="110"/>
      <c r="I23" s="124" t="s">
        <v>48</v>
      </c>
      <c r="J23" s="125" t="s">
        <v>70</v>
      </c>
      <c r="K23" s="126" t="s">
        <v>297</v>
      </c>
      <c r="L23" s="127"/>
      <c r="M23" s="131"/>
      <c r="N23" s="131"/>
      <c r="O23" s="129"/>
      <c r="P23" s="130"/>
    </row>
    <row r="24" ht="20.4" customHeight="1" spans="1:16">
      <c r="A24" s="106">
        <v>4563924180</v>
      </c>
      <c r="B24" s="106" t="s">
        <v>69</v>
      </c>
      <c r="C24" s="107" t="s">
        <v>65</v>
      </c>
      <c r="D24" s="108">
        <v>1</v>
      </c>
      <c r="E24" s="108">
        <v>253</v>
      </c>
      <c r="F24" s="109"/>
      <c r="G24" s="42">
        <f t="shared" si="1"/>
        <v>253</v>
      </c>
      <c r="H24" s="110"/>
      <c r="I24" s="124" t="s">
        <v>82</v>
      </c>
      <c r="J24" s="125" t="s">
        <v>70</v>
      </c>
      <c r="K24" s="126" t="s">
        <v>297</v>
      </c>
      <c r="L24" s="127"/>
      <c r="M24" s="131"/>
      <c r="N24" s="131"/>
      <c r="O24" s="129"/>
      <c r="P24" s="130"/>
    </row>
    <row r="25" ht="20.4" customHeight="1" spans="1:16">
      <c r="A25" s="106">
        <v>4563924181</v>
      </c>
      <c r="B25" s="106" t="s">
        <v>69</v>
      </c>
      <c r="C25" s="107" t="s">
        <v>65</v>
      </c>
      <c r="D25" s="108">
        <v>1</v>
      </c>
      <c r="E25" s="108">
        <v>195</v>
      </c>
      <c r="F25" s="109"/>
      <c r="G25" s="42">
        <f t="shared" si="1"/>
        <v>195</v>
      </c>
      <c r="H25" s="110"/>
      <c r="I25" s="124" t="s">
        <v>48</v>
      </c>
      <c r="J25" s="125" t="s">
        <v>70</v>
      </c>
      <c r="K25" s="126" t="s">
        <v>297</v>
      </c>
      <c r="L25" s="127"/>
      <c r="M25" s="131"/>
      <c r="N25" s="131"/>
      <c r="O25" s="129"/>
      <c r="P25" s="130"/>
    </row>
    <row r="26" ht="20.4" customHeight="1" spans="1:16">
      <c r="A26" s="106">
        <v>4563924182</v>
      </c>
      <c r="B26" s="106" t="s">
        <v>69</v>
      </c>
      <c r="C26" s="107" t="s">
        <v>65</v>
      </c>
      <c r="D26" s="108">
        <v>1</v>
      </c>
      <c r="E26" s="108">
        <v>195</v>
      </c>
      <c r="F26" s="109"/>
      <c r="G26" s="42">
        <f t="shared" si="1"/>
        <v>195</v>
      </c>
      <c r="H26" s="110"/>
      <c r="I26" s="124" t="s">
        <v>82</v>
      </c>
      <c r="J26" s="125" t="s">
        <v>70</v>
      </c>
      <c r="K26" s="126" t="s">
        <v>297</v>
      </c>
      <c r="L26" s="127"/>
      <c r="M26" s="131"/>
      <c r="N26" s="131"/>
      <c r="O26" s="129"/>
      <c r="P26" s="130"/>
    </row>
    <row r="27" ht="20.4" customHeight="1" spans="1:16">
      <c r="A27" s="106">
        <v>4563924183</v>
      </c>
      <c r="B27" s="106" t="s">
        <v>69</v>
      </c>
      <c r="C27" s="107" t="s">
        <v>126</v>
      </c>
      <c r="D27" s="108">
        <v>1</v>
      </c>
      <c r="E27" s="108">
        <v>175</v>
      </c>
      <c r="F27" s="109"/>
      <c r="G27" s="42">
        <f t="shared" si="1"/>
        <v>175</v>
      </c>
      <c r="H27" s="110" t="s">
        <v>292</v>
      </c>
      <c r="I27" s="124" t="s">
        <v>48</v>
      </c>
      <c r="J27" s="125" t="s">
        <v>70</v>
      </c>
      <c r="K27" s="126" t="s">
        <v>297</v>
      </c>
      <c r="L27" s="127"/>
      <c r="M27" s="131"/>
      <c r="N27" s="131"/>
      <c r="O27" s="129"/>
      <c r="P27" s="130"/>
    </row>
    <row r="28" ht="20.4" customHeight="1" spans="1:16">
      <c r="A28" s="106">
        <v>4563924184</v>
      </c>
      <c r="B28" s="106" t="s">
        <v>69</v>
      </c>
      <c r="C28" s="107" t="s">
        <v>65</v>
      </c>
      <c r="D28" s="108">
        <v>1</v>
      </c>
      <c r="E28" s="108">
        <v>253</v>
      </c>
      <c r="F28" s="109"/>
      <c r="G28" s="42">
        <f t="shared" si="1"/>
        <v>253</v>
      </c>
      <c r="H28" s="110"/>
      <c r="I28" s="124" t="s">
        <v>151</v>
      </c>
      <c r="J28" s="125" t="s">
        <v>70</v>
      </c>
      <c r="K28" s="126" t="s">
        <v>297</v>
      </c>
      <c r="L28" s="127"/>
      <c r="M28" s="131"/>
      <c r="N28" s="131"/>
      <c r="O28" s="129"/>
      <c r="P28" s="130"/>
    </row>
    <row r="29" ht="20.4" customHeight="1" spans="1:16">
      <c r="A29" s="106">
        <v>4563924185</v>
      </c>
      <c r="B29" s="106" t="s">
        <v>69</v>
      </c>
      <c r="C29" s="107" t="s">
        <v>65</v>
      </c>
      <c r="D29" s="108">
        <v>1</v>
      </c>
      <c r="E29" s="108">
        <v>390</v>
      </c>
      <c r="F29" s="109"/>
      <c r="G29" s="42">
        <f t="shared" si="1"/>
        <v>390</v>
      </c>
      <c r="H29" s="110" t="s">
        <v>298</v>
      </c>
      <c r="I29" s="124" t="s">
        <v>82</v>
      </c>
      <c r="J29" s="125" t="s">
        <v>70</v>
      </c>
      <c r="K29" s="126" t="s">
        <v>297</v>
      </c>
      <c r="L29" s="127"/>
      <c r="M29" s="131"/>
      <c r="N29" s="131"/>
      <c r="O29" s="129"/>
      <c r="P29" s="130"/>
    </row>
    <row r="30" ht="20.4" customHeight="1" spans="1:16">
      <c r="A30" s="106">
        <v>4563924186</v>
      </c>
      <c r="B30" s="106" t="s">
        <v>69</v>
      </c>
      <c r="C30" s="107" t="s">
        <v>126</v>
      </c>
      <c r="D30" s="108">
        <v>1</v>
      </c>
      <c r="E30" s="108">
        <v>175</v>
      </c>
      <c r="F30" s="109"/>
      <c r="G30" s="42">
        <f t="shared" si="1"/>
        <v>175</v>
      </c>
      <c r="H30" s="110" t="s">
        <v>130</v>
      </c>
      <c r="I30" s="124" t="s">
        <v>151</v>
      </c>
      <c r="J30" s="125" t="s">
        <v>70</v>
      </c>
      <c r="K30" s="126" t="s">
        <v>297</v>
      </c>
      <c r="L30" s="127"/>
      <c r="M30" s="131"/>
      <c r="N30" s="131"/>
      <c r="O30" s="129"/>
      <c r="P30" s="130"/>
    </row>
    <row r="31" ht="20.4" customHeight="1" spans="1:16">
      <c r="A31" s="106">
        <v>4563924187</v>
      </c>
      <c r="B31" s="106" t="s">
        <v>69</v>
      </c>
      <c r="C31" s="107" t="s">
        <v>65</v>
      </c>
      <c r="D31" s="108">
        <v>1</v>
      </c>
      <c r="E31" s="108">
        <v>253</v>
      </c>
      <c r="F31" s="109"/>
      <c r="G31" s="42">
        <f t="shared" si="1"/>
        <v>253</v>
      </c>
      <c r="H31" s="110"/>
      <c r="I31" s="124" t="s">
        <v>48</v>
      </c>
      <c r="J31" s="125" t="s">
        <v>70</v>
      </c>
      <c r="K31" s="126" t="s">
        <v>297</v>
      </c>
      <c r="L31" s="127"/>
      <c r="M31" s="131"/>
      <c r="N31" s="131"/>
      <c r="O31" s="129"/>
      <c r="P31" s="130"/>
    </row>
    <row r="32" ht="20.4" customHeight="1" spans="1:16">
      <c r="A32" s="106">
        <v>4563924188</v>
      </c>
      <c r="B32" s="106" t="s">
        <v>69</v>
      </c>
      <c r="C32" s="107" t="s">
        <v>65</v>
      </c>
      <c r="D32" s="108">
        <v>1</v>
      </c>
      <c r="E32" s="108">
        <v>253</v>
      </c>
      <c r="F32" s="109"/>
      <c r="G32" s="42">
        <f t="shared" si="1"/>
        <v>253</v>
      </c>
      <c r="H32" s="110"/>
      <c r="I32" s="124" t="s">
        <v>290</v>
      </c>
      <c r="J32" s="125" t="s">
        <v>70</v>
      </c>
      <c r="K32" s="126" t="s">
        <v>297</v>
      </c>
      <c r="L32" s="127"/>
      <c r="M32" s="131"/>
      <c r="N32" s="131"/>
      <c r="O32" s="129"/>
      <c r="P32" s="130"/>
    </row>
    <row r="33" ht="20.4" customHeight="1" spans="1:16">
      <c r="A33" s="106">
        <v>4563924189</v>
      </c>
      <c r="B33" s="106" t="s">
        <v>69</v>
      </c>
      <c r="C33" s="107" t="s">
        <v>65</v>
      </c>
      <c r="D33" s="108">
        <v>1</v>
      </c>
      <c r="E33" s="108">
        <v>253</v>
      </c>
      <c r="F33" s="109"/>
      <c r="G33" s="42">
        <f t="shared" si="1"/>
        <v>253</v>
      </c>
      <c r="H33" s="110"/>
      <c r="I33" s="124" t="s">
        <v>48</v>
      </c>
      <c r="J33" s="125" t="s">
        <v>70</v>
      </c>
      <c r="K33" s="126" t="s">
        <v>297</v>
      </c>
      <c r="L33" s="127"/>
      <c r="M33" s="131"/>
      <c r="N33" s="131"/>
      <c r="O33" s="129"/>
      <c r="P33" s="130"/>
    </row>
    <row r="34" ht="20.4" customHeight="1" spans="1:16">
      <c r="A34" s="106">
        <v>4563924190</v>
      </c>
      <c r="B34" s="106" t="s">
        <v>69</v>
      </c>
      <c r="C34" s="107" t="s">
        <v>126</v>
      </c>
      <c r="D34" s="108">
        <v>1</v>
      </c>
      <c r="E34" s="108">
        <v>175</v>
      </c>
      <c r="F34" s="109"/>
      <c r="G34" s="42">
        <f t="shared" si="1"/>
        <v>175</v>
      </c>
      <c r="H34" s="110"/>
      <c r="I34" s="124" t="s">
        <v>82</v>
      </c>
      <c r="J34" s="125" t="s">
        <v>70</v>
      </c>
      <c r="K34" s="126" t="s">
        <v>297</v>
      </c>
      <c r="L34" s="127"/>
      <c r="M34" s="131"/>
      <c r="N34" s="131"/>
      <c r="O34" s="129"/>
      <c r="P34" s="130"/>
    </row>
    <row r="35" ht="20.4" customHeight="1" spans="1:16">
      <c r="A35" s="106">
        <v>4563924191</v>
      </c>
      <c r="B35" s="106" t="s">
        <v>69</v>
      </c>
      <c r="C35" s="107" t="s">
        <v>65</v>
      </c>
      <c r="D35" s="108">
        <v>1</v>
      </c>
      <c r="E35" s="108">
        <v>195</v>
      </c>
      <c r="F35" s="109"/>
      <c r="G35" s="42">
        <f t="shared" si="1"/>
        <v>195</v>
      </c>
      <c r="H35" s="110"/>
      <c r="I35" s="124" t="s">
        <v>48</v>
      </c>
      <c r="J35" s="125" t="s">
        <v>70</v>
      </c>
      <c r="K35" s="126" t="s">
        <v>297</v>
      </c>
      <c r="L35" s="127"/>
      <c r="M35" s="131"/>
      <c r="N35" s="131"/>
      <c r="O35" s="129"/>
      <c r="P35" s="130"/>
    </row>
    <row r="36" ht="20.4" customHeight="1" spans="1:16">
      <c r="A36" s="106">
        <v>4563924192</v>
      </c>
      <c r="B36" s="106" t="s">
        <v>69</v>
      </c>
      <c r="C36" s="107" t="s">
        <v>65</v>
      </c>
      <c r="D36" s="108">
        <v>1</v>
      </c>
      <c r="E36" s="108">
        <v>1033</v>
      </c>
      <c r="F36" s="109"/>
      <c r="G36" s="42">
        <f t="shared" si="1"/>
        <v>1033</v>
      </c>
      <c r="H36" s="110" t="s">
        <v>299</v>
      </c>
      <c r="I36" s="124" t="s">
        <v>290</v>
      </c>
      <c r="J36" s="125" t="s">
        <v>70</v>
      </c>
      <c r="K36" s="126" t="s">
        <v>297</v>
      </c>
      <c r="L36" s="127"/>
      <c r="M36" s="131"/>
      <c r="N36" s="131"/>
      <c r="O36" s="129"/>
      <c r="P36" s="130"/>
    </row>
    <row r="37" ht="20.4" customHeight="1" spans="1:16">
      <c r="A37" s="106">
        <v>4563924193</v>
      </c>
      <c r="B37" s="106" t="s">
        <v>69</v>
      </c>
      <c r="C37" s="107" t="s">
        <v>65</v>
      </c>
      <c r="D37" s="108">
        <v>1</v>
      </c>
      <c r="E37" s="108">
        <v>253</v>
      </c>
      <c r="F37" s="109"/>
      <c r="G37" s="42">
        <f t="shared" si="1"/>
        <v>253</v>
      </c>
      <c r="H37" s="110"/>
      <c r="I37" s="124" t="s">
        <v>82</v>
      </c>
      <c r="J37" s="125" t="s">
        <v>70</v>
      </c>
      <c r="K37" s="126" t="s">
        <v>297</v>
      </c>
      <c r="L37" s="127"/>
      <c r="M37" s="131"/>
      <c r="N37" s="131"/>
      <c r="O37" s="129"/>
      <c r="P37" s="130"/>
    </row>
    <row r="38" ht="20.4" customHeight="1" spans="1:16">
      <c r="A38" s="106">
        <v>4563924194</v>
      </c>
      <c r="B38" s="106" t="s">
        <v>69</v>
      </c>
      <c r="C38" s="107" t="s">
        <v>65</v>
      </c>
      <c r="D38" s="108">
        <v>1</v>
      </c>
      <c r="E38" s="108">
        <v>195</v>
      </c>
      <c r="F38" s="109"/>
      <c r="G38" s="42">
        <f t="shared" si="1"/>
        <v>195</v>
      </c>
      <c r="H38" s="110"/>
      <c r="I38" s="124" t="s">
        <v>151</v>
      </c>
      <c r="J38" s="125" t="s">
        <v>70</v>
      </c>
      <c r="K38" s="126" t="s">
        <v>297</v>
      </c>
      <c r="L38" s="127"/>
      <c r="M38" s="131"/>
      <c r="N38" s="131"/>
      <c r="O38" s="129"/>
      <c r="P38" s="130"/>
    </row>
    <row r="39" ht="20.4" customHeight="1" spans="1:16">
      <c r="A39" s="106">
        <v>4563924195</v>
      </c>
      <c r="B39" s="106" t="s">
        <v>69</v>
      </c>
      <c r="C39" s="107" t="s">
        <v>65</v>
      </c>
      <c r="D39" s="108">
        <v>1</v>
      </c>
      <c r="E39" s="108">
        <v>253</v>
      </c>
      <c r="F39" s="109"/>
      <c r="G39" s="42">
        <f t="shared" si="1"/>
        <v>253</v>
      </c>
      <c r="H39" s="110"/>
      <c r="I39" s="124" t="s">
        <v>48</v>
      </c>
      <c r="J39" s="125" t="s">
        <v>70</v>
      </c>
      <c r="K39" s="126" t="s">
        <v>297</v>
      </c>
      <c r="L39" s="127"/>
      <c r="M39" s="131"/>
      <c r="N39" s="131"/>
      <c r="O39" s="129"/>
      <c r="P39" s="130"/>
    </row>
    <row r="40" ht="20.4" customHeight="1" spans="1:16">
      <c r="A40" s="106">
        <v>4563924196</v>
      </c>
      <c r="B40" s="106" t="s">
        <v>69</v>
      </c>
      <c r="C40" s="107" t="s">
        <v>65</v>
      </c>
      <c r="D40" s="108">
        <v>1</v>
      </c>
      <c r="E40" s="108">
        <v>195</v>
      </c>
      <c r="F40" s="109"/>
      <c r="G40" s="42">
        <f t="shared" si="1"/>
        <v>195</v>
      </c>
      <c r="H40" s="110"/>
      <c r="I40" s="124" t="s">
        <v>151</v>
      </c>
      <c r="J40" s="125" t="s">
        <v>70</v>
      </c>
      <c r="K40" s="126" t="s">
        <v>297</v>
      </c>
      <c r="L40" s="127"/>
      <c r="M40" s="131"/>
      <c r="N40" s="131"/>
      <c r="O40" s="129"/>
      <c r="P40" s="130"/>
    </row>
    <row r="41" ht="20.4" customHeight="1" spans="1:16">
      <c r="A41" s="106">
        <v>4563924197</v>
      </c>
      <c r="B41" s="106" t="s">
        <v>69</v>
      </c>
      <c r="C41" s="107" t="s">
        <v>65</v>
      </c>
      <c r="D41" s="108">
        <v>1</v>
      </c>
      <c r="E41" s="108">
        <v>195</v>
      </c>
      <c r="F41" s="109"/>
      <c r="G41" s="42">
        <v>390</v>
      </c>
      <c r="H41" s="110" t="s">
        <v>300</v>
      </c>
      <c r="I41" s="124" t="s">
        <v>48</v>
      </c>
      <c r="J41" s="125" t="s">
        <v>70</v>
      </c>
      <c r="K41" s="126" t="s">
        <v>297</v>
      </c>
      <c r="L41" s="127"/>
      <c r="M41" s="131"/>
      <c r="N41" s="131"/>
      <c r="O41" s="129"/>
      <c r="P41" s="130"/>
    </row>
    <row r="42" ht="20.4" customHeight="1" spans="1:16">
      <c r="A42" s="106">
        <v>4563924198</v>
      </c>
      <c r="B42" s="106" t="s">
        <v>69</v>
      </c>
      <c r="C42" s="107" t="s">
        <v>65</v>
      </c>
      <c r="D42" s="108">
        <v>1</v>
      </c>
      <c r="E42" s="108">
        <v>195</v>
      </c>
      <c r="F42" s="109"/>
      <c r="G42" s="42">
        <f t="shared" si="1"/>
        <v>195</v>
      </c>
      <c r="H42" s="110"/>
      <c r="I42" s="124" t="s">
        <v>48</v>
      </c>
      <c r="J42" s="125" t="s">
        <v>70</v>
      </c>
      <c r="K42" s="126" t="s">
        <v>297</v>
      </c>
      <c r="L42" s="127"/>
      <c r="M42" s="131"/>
      <c r="N42" s="131"/>
      <c r="O42" s="129"/>
      <c r="P42" s="130"/>
    </row>
    <row r="43" ht="20.4" customHeight="1" spans="1:16">
      <c r="A43" s="106">
        <v>4563924199</v>
      </c>
      <c r="B43" s="106" t="s">
        <v>69</v>
      </c>
      <c r="C43" s="107" t="s">
        <v>126</v>
      </c>
      <c r="D43" s="108">
        <v>1</v>
      </c>
      <c r="E43" s="108">
        <v>176</v>
      </c>
      <c r="F43" s="109"/>
      <c r="G43" s="42">
        <f t="shared" si="1"/>
        <v>176</v>
      </c>
      <c r="H43" s="110" t="s">
        <v>301</v>
      </c>
      <c r="I43" s="124" t="s">
        <v>293</v>
      </c>
      <c r="J43" s="125" t="s">
        <v>70</v>
      </c>
      <c r="K43" s="126" t="s">
        <v>302</v>
      </c>
      <c r="L43" s="127"/>
      <c r="M43" s="131"/>
      <c r="N43" s="131"/>
      <c r="O43" s="129"/>
      <c r="P43" s="130"/>
    </row>
    <row r="44" ht="20.4" customHeight="1" spans="1:16">
      <c r="A44" s="106">
        <v>4563924200</v>
      </c>
      <c r="B44" s="106" t="s">
        <v>69</v>
      </c>
      <c r="C44" s="107" t="s">
        <v>65</v>
      </c>
      <c r="D44" s="108">
        <v>1</v>
      </c>
      <c r="E44" s="108">
        <v>195</v>
      </c>
      <c r="F44" s="109"/>
      <c r="G44" s="42">
        <f t="shared" si="1"/>
        <v>195</v>
      </c>
      <c r="H44" s="110"/>
      <c r="I44" s="124" t="s">
        <v>293</v>
      </c>
      <c r="J44" s="125" t="s">
        <v>70</v>
      </c>
      <c r="K44" s="126" t="s">
        <v>302</v>
      </c>
      <c r="L44" s="127"/>
      <c r="M44" s="131"/>
      <c r="N44" s="131"/>
      <c r="O44" s="129"/>
      <c r="P44" s="130"/>
    </row>
    <row r="45" ht="20.4" customHeight="1" spans="1:16">
      <c r="A45" s="106">
        <v>4563924201</v>
      </c>
      <c r="B45" s="106" t="s">
        <v>69</v>
      </c>
      <c r="C45" s="107" t="s">
        <v>65</v>
      </c>
      <c r="D45" s="108">
        <v>1</v>
      </c>
      <c r="E45" s="108">
        <v>254</v>
      </c>
      <c r="F45" s="109"/>
      <c r="G45" s="42">
        <f t="shared" si="1"/>
        <v>254</v>
      </c>
      <c r="H45" s="110"/>
      <c r="I45" s="124" t="s">
        <v>48</v>
      </c>
      <c r="J45" s="125" t="s">
        <v>70</v>
      </c>
      <c r="K45" s="126" t="s">
        <v>302</v>
      </c>
      <c r="L45" s="127"/>
      <c r="M45" s="131"/>
      <c r="N45" s="131"/>
      <c r="O45" s="129"/>
      <c r="P45" s="130"/>
    </row>
    <row r="46" ht="20.4" customHeight="1" spans="1:16">
      <c r="A46" s="106">
        <v>4563924202</v>
      </c>
      <c r="B46" s="106" t="s">
        <v>69</v>
      </c>
      <c r="C46" s="107" t="s">
        <v>126</v>
      </c>
      <c r="D46" s="108">
        <v>1</v>
      </c>
      <c r="E46" s="108">
        <v>176</v>
      </c>
      <c r="F46" s="109"/>
      <c r="G46" s="42">
        <f t="shared" si="1"/>
        <v>176</v>
      </c>
      <c r="H46" s="110" t="s">
        <v>303</v>
      </c>
      <c r="I46" s="124" t="s">
        <v>82</v>
      </c>
      <c r="J46" s="125" t="s">
        <v>70</v>
      </c>
      <c r="K46" s="126" t="s">
        <v>302</v>
      </c>
      <c r="L46" s="127"/>
      <c r="M46" s="131"/>
      <c r="N46" s="131"/>
      <c r="O46" s="129"/>
      <c r="P46" s="130"/>
    </row>
    <row r="47" ht="20.4" customHeight="1" spans="1:16">
      <c r="A47" s="106">
        <v>4563924203</v>
      </c>
      <c r="B47" s="106" t="s">
        <v>69</v>
      </c>
      <c r="C47" s="107" t="s">
        <v>65</v>
      </c>
      <c r="D47" s="108">
        <v>1</v>
      </c>
      <c r="E47" s="108">
        <v>254</v>
      </c>
      <c r="F47" s="109"/>
      <c r="G47" s="42">
        <f t="shared" si="1"/>
        <v>254</v>
      </c>
      <c r="H47" s="110"/>
      <c r="I47" s="124" t="s">
        <v>48</v>
      </c>
      <c r="J47" s="125" t="s">
        <v>70</v>
      </c>
      <c r="K47" s="126" t="s">
        <v>302</v>
      </c>
      <c r="L47" s="127"/>
      <c r="M47" s="131"/>
      <c r="N47" s="131"/>
      <c r="O47" s="129"/>
      <c r="P47" s="130"/>
    </row>
    <row r="48" ht="20.4" customHeight="1" spans="1:16">
      <c r="A48" s="106">
        <v>4563924204</v>
      </c>
      <c r="B48" s="106" t="s">
        <v>69</v>
      </c>
      <c r="C48" s="107" t="s">
        <v>126</v>
      </c>
      <c r="D48" s="108">
        <v>1</v>
      </c>
      <c r="E48" s="108">
        <v>176</v>
      </c>
      <c r="F48" s="109"/>
      <c r="G48" s="42">
        <f t="shared" si="1"/>
        <v>176</v>
      </c>
      <c r="H48" s="110" t="s">
        <v>292</v>
      </c>
      <c r="I48" s="124" t="s">
        <v>293</v>
      </c>
      <c r="J48" s="125" t="s">
        <v>70</v>
      </c>
      <c r="K48" s="126" t="s">
        <v>302</v>
      </c>
      <c r="L48" s="127"/>
      <c r="M48" s="131"/>
      <c r="N48" s="131"/>
      <c r="O48" s="129"/>
      <c r="P48" s="130"/>
    </row>
    <row r="49" ht="20.4" customHeight="1" spans="1:16">
      <c r="A49" s="106">
        <v>4563924205</v>
      </c>
      <c r="B49" s="106" t="s">
        <v>69</v>
      </c>
      <c r="C49" s="107" t="s">
        <v>65</v>
      </c>
      <c r="D49" s="108">
        <v>1</v>
      </c>
      <c r="E49" s="108">
        <v>254</v>
      </c>
      <c r="F49" s="109"/>
      <c r="G49" s="42">
        <f t="shared" si="1"/>
        <v>254</v>
      </c>
      <c r="H49" s="110"/>
      <c r="I49" s="124" t="s">
        <v>82</v>
      </c>
      <c r="J49" s="125" t="s">
        <v>70</v>
      </c>
      <c r="K49" s="126" t="s">
        <v>302</v>
      </c>
      <c r="L49" s="127"/>
      <c r="M49" s="131"/>
      <c r="N49" s="131"/>
      <c r="O49" s="129"/>
      <c r="P49" s="130"/>
    </row>
    <row r="50" ht="20.4" customHeight="1" spans="1:16">
      <c r="A50" s="106">
        <v>4563924206</v>
      </c>
      <c r="B50" s="106" t="s">
        <v>69</v>
      </c>
      <c r="C50" s="107" t="s">
        <v>65</v>
      </c>
      <c r="D50" s="108">
        <v>1</v>
      </c>
      <c r="E50" s="108">
        <v>234</v>
      </c>
      <c r="F50" s="109"/>
      <c r="G50" s="42">
        <f t="shared" si="1"/>
        <v>234</v>
      </c>
      <c r="H50" s="110"/>
      <c r="I50" s="124" t="s">
        <v>82</v>
      </c>
      <c r="J50" s="125" t="s">
        <v>70</v>
      </c>
      <c r="K50" s="126" t="s">
        <v>302</v>
      </c>
      <c r="L50" s="127"/>
      <c r="M50" s="131"/>
      <c r="N50" s="131"/>
      <c r="O50" s="129"/>
      <c r="P50" s="130"/>
    </row>
    <row r="51" ht="20.4" customHeight="1" spans="1:16">
      <c r="A51" s="106">
        <v>4563924207</v>
      </c>
      <c r="B51" s="106" t="s">
        <v>69</v>
      </c>
      <c r="C51" s="107" t="s">
        <v>65</v>
      </c>
      <c r="D51" s="108">
        <v>1</v>
      </c>
      <c r="E51" s="108">
        <v>254</v>
      </c>
      <c r="F51" s="109"/>
      <c r="G51" s="42">
        <f t="shared" si="1"/>
        <v>254</v>
      </c>
      <c r="H51" s="110"/>
      <c r="I51" s="124" t="s">
        <v>48</v>
      </c>
      <c r="J51" s="125" t="s">
        <v>70</v>
      </c>
      <c r="K51" s="126" t="s">
        <v>302</v>
      </c>
      <c r="L51" s="127"/>
      <c r="M51" s="131"/>
      <c r="N51" s="131"/>
      <c r="O51" s="129"/>
      <c r="P51" s="130"/>
    </row>
    <row r="52" ht="20.4" customHeight="1" spans="1:16">
      <c r="A52" s="106">
        <v>4563924208</v>
      </c>
      <c r="B52" s="106" t="s">
        <v>69</v>
      </c>
      <c r="C52" s="107" t="s">
        <v>126</v>
      </c>
      <c r="D52" s="108">
        <v>1</v>
      </c>
      <c r="E52" s="108">
        <v>176</v>
      </c>
      <c r="F52" s="109"/>
      <c r="G52" s="42">
        <f t="shared" si="1"/>
        <v>176</v>
      </c>
      <c r="H52" s="110" t="s">
        <v>304</v>
      </c>
      <c r="I52" s="124" t="s">
        <v>48</v>
      </c>
      <c r="J52" s="125" t="s">
        <v>70</v>
      </c>
      <c r="K52" s="126" t="s">
        <v>302</v>
      </c>
      <c r="L52" s="127"/>
      <c r="M52" s="131"/>
      <c r="N52" s="131"/>
      <c r="O52" s="129"/>
      <c r="P52" s="130"/>
    </row>
    <row r="53" ht="20.4" customHeight="1" spans="1:16">
      <c r="A53" s="106">
        <v>4563924209</v>
      </c>
      <c r="B53" s="106" t="s">
        <v>69</v>
      </c>
      <c r="C53" s="107" t="s">
        <v>65</v>
      </c>
      <c r="D53" s="108">
        <v>1</v>
      </c>
      <c r="E53" s="108">
        <v>196</v>
      </c>
      <c r="F53" s="109"/>
      <c r="G53" s="42">
        <f t="shared" si="1"/>
        <v>196</v>
      </c>
      <c r="H53" s="110"/>
      <c r="I53" s="124" t="s">
        <v>82</v>
      </c>
      <c r="J53" s="125" t="s">
        <v>70</v>
      </c>
      <c r="K53" s="126" t="s">
        <v>305</v>
      </c>
      <c r="L53" s="127"/>
      <c r="M53" s="131"/>
      <c r="N53" s="131"/>
      <c r="O53" s="129"/>
      <c r="P53" s="130"/>
    </row>
    <row r="54" ht="20.4" customHeight="1" spans="1:16">
      <c r="A54" s="106">
        <v>4563924210</v>
      </c>
      <c r="B54" s="106" t="s">
        <v>69</v>
      </c>
      <c r="C54" s="107" t="s">
        <v>65</v>
      </c>
      <c r="D54" s="108">
        <v>1</v>
      </c>
      <c r="E54" s="108">
        <v>196</v>
      </c>
      <c r="F54" s="109"/>
      <c r="G54" s="42">
        <f t="shared" si="1"/>
        <v>196</v>
      </c>
      <c r="H54" s="110"/>
      <c r="I54" s="124" t="s">
        <v>48</v>
      </c>
      <c r="J54" s="125" t="s">
        <v>70</v>
      </c>
      <c r="K54" s="126" t="s">
        <v>305</v>
      </c>
      <c r="L54" s="127"/>
      <c r="M54" s="131"/>
      <c r="N54" s="131"/>
      <c r="O54" s="129"/>
      <c r="P54" s="130"/>
    </row>
    <row r="55" ht="20.4" customHeight="1" spans="1:16">
      <c r="A55" s="106">
        <v>4563924211</v>
      </c>
      <c r="B55" s="106" t="s">
        <v>69</v>
      </c>
      <c r="C55" s="107" t="s">
        <v>134</v>
      </c>
      <c r="D55" s="108">
        <v>1</v>
      </c>
      <c r="E55" s="108">
        <v>6000</v>
      </c>
      <c r="F55" s="109"/>
      <c r="G55" s="42">
        <f t="shared" si="1"/>
        <v>6000</v>
      </c>
      <c r="H55" s="110" t="s">
        <v>306</v>
      </c>
      <c r="I55" s="124" t="s">
        <v>48</v>
      </c>
      <c r="J55" s="125" t="s">
        <v>70</v>
      </c>
      <c r="K55" s="126" t="s">
        <v>305</v>
      </c>
      <c r="L55" s="127"/>
      <c r="M55" s="131"/>
      <c r="N55" s="131"/>
      <c r="O55" s="129"/>
      <c r="P55" s="130"/>
    </row>
    <row r="56" ht="20.4" customHeight="1" spans="1:16">
      <c r="A56" s="106">
        <v>4563924212</v>
      </c>
      <c r="B56" s="106" t="s">
        <v>69</v>
      </c>
      <c r="C56" s="107" t="s">
        <v>65</v>
      </c>
      <c r="D56" s="108">
        <v>1</v>
      </c>
      <c r="E56" s="108">
        <v>235</v>
      </c>
      <c r="F56" s="109"/>
      <c r="G56" s="42">
        <f t="shared" si="1"/>
        <v>235</v>
      </c>
      <c r="H56" s="110"/>
      <c r="I56" s="124" t="s">
        <v>151</v>
      </c>
      <c r="J56" s="125" t="s">
        <v>70</v>
      </c>
      <c r="K56" s="126" t="s">
        <v>305</v>
      </c>
      <c r="L56" s="127"/>
      <c r="M56" s="131"/>
      <c r="N56" s="131"/>
      <c r="O56" s="129"/>
      <c r="P56" s="130"/>
    </row>
    <row r="57" ht="20.4" customHeight="1" spans="1:16">
      <c r="A57" s="106">
        <v>4563924213</v>
      </c>
      <c r="B57" s="106" t="s">
        <v>69</v>
      </c>
      <c r="C57" s="107" t="s">
        <v>65</v>
      </c>
      <c r="D57" s="108">
        <v>1</v>
      </c>
      <c r="E57" s="108">
        <v>255</v>
      </c>
      <c r="F57" s="109"/>
      <c r="G57" s="42">
        <f t="shared" si="1"/>
        <v>255</v>
      </c>
      <c r="H57" s="110"/>
      <c r="I57" s="124" t="s">
        <v>290</v>
      </c>
      <c r="J57" s="125" t="s">
        <v>70</v>
      </c>
      <c r="K57" s="126" t="s">
        <v>307</v>
      </c>
      <c r="L57" s="127"/>
      <c r="M57" s="131"/>
      <c r="N57" s="131"/>
      <c r="O57" s="129"/>
      <c r="P57" s="130"/>
    </row>
    <row r="58" ht="20.4" customHeight="1" spans="1:16">
      <c r="A58" s="106">
        <v>4563924214</v>
      </c>
      <c r="B58" s="106" t="s">
        <v>69</v>
      </c>
      <c r="C58" s="107" t="s">
        <v>126</v>
      </c>
      <c r="D58" s="108">
        <v>1</v>
      </c>
      <c r="E58" s="108">
        <v>176</v>
      </c>
      <c r="F58" s="109"/>
      <c r="G58" s="42">
        <f t="shared" si="1"/>
        <v>176</v>
      </c>
      <c r="H58" s="110" t="s">
        <v>130</v>
      </c>
      <c r="I58" s="124" t="s">
        <v>293</v>
      </c>
      <c r="J58" s="125" t="s">
        <v>70</v>
      </c>
      <c r="K58" s="126" t="s">
        <v>307</v>
      </c>
      <c r="L58" s="127"/>
      <c r="M58" s="131"/>
      <c r="N58" s="131"/>
      <c r="O58" s="129"/>
      <c r="P58" s="130"/>
    </row>
    <row r="59" ht="20.4" customHeight="1" spans="1:16">
      <c r="A59" s="106">
        <v>4563924215</v>
      </c>
      <c r="B59" s="106" t="s">
        <v>69</v>
      </c>
      <c r="C59" s="107" t="s">
        <v>126</v>
      </c>
      <c r="D59" s="108">
        <v>1</v>
      </c>
      <c r="E59" s="108">
        <v>176</v>
      </c>
      <c r="F59" s="109"/>
      <c r="G59" s="42">
        <f t="shared" si="1"/>
        <v>176</v>
      </c>
      <c r="H59" s="110" t="s">
        <v>304</v>
      </c>
      <c r="I59" s="124" t="s">
        <v>293</v>
      </c>
      <c r="J59" s="125" t="s">
        <v>70</v>
      </c>
      <c r="K59" s="126" t="s">
        <v>307</v>
      </c>
      <c r="L59" s="127"/>
      <c r="M59" s="131"/>
      <c r="N59" s="131"/>
      <c r="O59" s="129"/>
      <c r="P59" s="130"/>
    </row>
    <row r="60" ht="20.4" customHeight="1" spans="1:16">
      <c r="A60" s="106">
        <v>4563924216</v>
      </c>
      <c r="B60" s="106" t="s">
        <v>69</v>
      </c>
      <c r="C60" s="107" t="s">
        <v>65</v>
      </c>
      <c r="D60" s="108">
        <v>1</v>
      </c>
      <c r="E60" s="108">
        <v>255</v>
      </c>
      <c r="F60" s="109"/>
      <c r="G60" s="42">
        <f t="shared" si="1"/>
        <v>255</v>
      </c>
      <c r="H60" s="110"/>
      <c r="I60" s="124" t="s">
        <v>293</v>
      </c>
      <c r="J60" s="125" t="s">
        <v>70</v>
      </c>
      <c r="K60" s="126" t="s">
        <v>307</v>
      </c>
      <c r="L60" s="127"/>
      <c r="M60" s="131"/>
      <c r="N60" s="131"/>
      <c r="O60" s="129"/>
      <c r="P60" s="130"/>
    </row>
    <row r="61" ht="20.4" customHeight="1" spans="1:16">
      <c r="A61" s="106">
        <v>4563924217</v>
      </c>
      <c r="B61" s="106" t="s">
        <v>69</v>
      </c>
      <c r="C61" s="107" t="s">
        <v>126</v>
      </c>
      <c r="D61" s="108">
        <v>1</v>
      </c>
      <c r="E61" s="108">
        <v>176</v>
      </c>
      <c r="F61" s="109"/>
      <c r="G61" s="42">
        <f t="shared" si="1"/>
        <v>176</v>
      </c>
      <c r="H61" s="110" t="s">
        <v>292</v>
      </c>
      <c r="I61" s="124" t="s">
        <v>293</v>
      </c>
      <c r="J61" s="125" t="s">
        <v>70</v>
      </c>
      <c r="K61" s="126" t="s">
        <v>307</v>
      </c>
      <c r="L61" s="127"/>
      <c r="M61" s="131"/>
      <c r="N61" s="131"/>
      <c r="O61" s="129"/>
      <c r="P61" s="130"/>
    </row>
    <row r="62" ht="20.4" customHeight="1" spans="1:16">
      <c r="A62" s="106">
        <v>4563924218</v>
      </c>
      <c r="B62" s="106" t="s">
        <v>69</v>
      </c>
      <c r="C62" s="107" t="s">
        <v>65</v>
      </c>
      <c r="D62" s="108">
        <v>1</v>
      </c>
      <c r="E62" s="108">
        <v>196</v>
      </c>
      <c r="F62" s="109"/>
      <c r="G62" s="42">
        <f t="shared" si="1"/>
        <v>196</v>
      </c>
      <c r="H62" s="110"/>
      <c r="I62" s="124" t="s">
        <v>151</v>
      </c>
      <c r="J62" s="125" t="s">
        <v>70</v>
      </c>
      <c r="K62" s="126" t="s">
        <v>307</v>
      </c>
      <c r="L62" s="127"/>
      <c r="M62" s="131"/>
      <c r="N62" s="131"/>
      <c r="O62" s="129"/>
      <c r="P62" s="130"/>
    </row>
    <row r="63" ht="20.4" customHeight="1" spans="1:16">
      <c r="A63" s="106">
        <v>4563924219</v>
      </c>
      <c r="B63" s="106" t="s">
        <v>69</v>
      </c>
      <c r="C63" s="107" t="s">
        <v>65</v>
      </c>
      <c r="D63" s="108">
        <v>1</v>
      </c>
      <c r="E63" s="108">
        <v>196</v>
      </c>
      <c r="F63" s="109"/>
      <c r="G63" s="42">
        <f t="shared" si="1"/>
        <v>196</v>
      </c>
      <c r="H63" s="110"/>
      <c r="I63" s="124" t="s">
        <v>82</v>
      </c>
      <c r="J63" s="125" t="s">
        <v>70</v>
      </c>
      <c r="K63" s="126" t="s">
        <v>307</v>
      </c>
      <c r="L63" s="127"/>
      <c r="M63" s="131"/>
      <c r="N63" s="131"/>
      <c r="O63" s="129"/>
      <c r="P63" s="130"/>
    </row>
    <row r="64" ht="20.4" customHeight="1" spans="1:16">
      <c r="A64" s="106">
        <v>4563924220</v>
      </c>
      <c r="B64" s="106" t="s">
        <v>69</v>
      </c>
      <c r="C64" s="107" t="s">
        <v>65</v>
      </c>
      <c r="D64" s="108">
        <v>1</v>
      </c>
      <c r="E64" s="108">
        <v>196</v>
      </c>
      <c r="F64" s="109"/>
      <c r="G64" s="42">
        <f t="shared" si="1"/>
        <v>196</v>
      </c>
      <c r="H64" s="110"/>
      <c r="I64" s="124" t="s">
        <v>82</v>
      </c>
      <c r="J64" s="125" t="s">
        <v>70</v>
      </c>
      <c r="K64" s="126" t="s">
        <v>307</v>
      </c>
      <c r="L64" s="127"/>
      <c r="M64" s="131"/>
      <c r="N64" s="131"/>
      <c r="O64" s="129"/>
      <c r="P64" s="130"/>
    </row>
    <row r="65" ht="20.4" customHeight="1" spans="1:16">
      <c r="A65" s="106">
        <v>4563924221</v>
      </c>
      <c r="B65" s="106" t="s">
        <v>69</v>
      </c>
      <c r="C65" s="107" t="s">
        <v>65</v>
      </c>
      <c r="D65" s="108">
        <v>1</v>
      </c>
      <c r="E65" s="108">
        <v>255</v>
      </c>
      <c r="F65" s="109"/>
      <c r="G65" s="42">
        <f t="shared" si="1"/>
        <v>255</v>
      </c>
      <c r="H65" s="110"/>
      <c r="I65" s="124" t="s">
        <v>48</v>
      </c>
      <c r="J65" s="125" t="s">
        <v>70</v>
      </c>
      <c r="K65" s="126" t="s">
        <v>307</v>
      </c>
      <c r="L65" s="127"/>
      <c r="M65" s="131"/>
      <c r="N65" s="131"/>
      <c r="O65" s="129"/>
      <c r="P65" s="130"/>
    </row>
    <row r="66" ht="20.4" customHeight="1" spans="1:16">
      <c r="A66" s="106">
        <v>4563924222</v>
      </c>
      <c r="B66" s="106" t="s">
        <v>69</v>
      </c>
      <c r="C66" s="107" t="s">
        <v>65</v>
      </c>
      <c r="D66" s="108">
        <v>1</v>
      </c>
      <c r="E66" s="108">
        <v>255</v>
      </c>
      <c r="F66" s="109"/>
      <c r="G66" s="42">
        <f t="shared" si="1"/>
        <v>255</v>
      </c>
      <c r="H66" s="110"/>
      <c r="I66" s="124" t="s">
        <v>151</v>
      </c>
      <c r="J66" s="125" t="s">
        <v>70</v>
      </c>
      <c r="K66" s="126" t="s">
        <v>307</v>
      </c>
      <c r="L66" s="127"/>
      <c r="M66" s="131"/>
      <c r="N66" s="131"/>
      <c r="O66" s="129"/>
      <c r="P66" s="130"/>
    </row>
    <row r="67" ht="20.4" customHeight="1" spans="1:16">
      <c r="A67" s="106">
        <v>4563924223</v>
      </c>
      <c r="B67" s="106" t="s">
        <v>69</v>
      </c>
      <c r="C67" s="107" t="s">
        <v>65</v>
      </c>
      <c r="D67" s="108">
        <v>1</v>
      </c>
      <c r="E67" s="108">
        <v>235</v>
      </c>
      <c r="F67" s="109"/>
      <c r="G67" s="42">
        <f t="shared" si="1"/>
        <v>235</v>
      </c>
      <c r="H67" s="110"/>
      <c r="I67" s="124" t="s">
        <v>82</v>
      </c>
      <c r="J67" s="125" t="s">
        <v>70</v>
      </c>
      <c r="K67" s="126" t="s">
        <v>308</v>
      </c>
      <c r="L67" s="127"/>
      <c r="M67" s="131"/>
      <c r="N67" s="131"/>
      <c r="O67" s="129"/>
      <c r="P67" s="130"/>
    </row>
    <row r="68" ht="20.4" customHeight="1" spans="1:16">
      <c r="A68" s="106">
        <v>4563924224</v>
      </c>
      <c r="B68" s="106" t="s">
        <v>69</v>
      </c>
      <c r="C68" s="107" t="s">
        <v>65</v>
      </c>
      <c r="D68" s="108">
        <v>1</v>
      </c>
      <c r="E68" s="108">
        <v>196</v>
      </c>
      <c r="F68" s="109"/>
      <c r="G68" s="42">
        <f t="shared" si="1"/>
        <v>196</v>
      </c>
      <c r="H68" s="110"/>
      <c r="I68" s="124" t="s">
        <v>82</v>
      </c>
      <c r="J68" s="125" t="s">
        <v>70</v>
      </c>
      <c r="K68" s="126" t="s">
        <v>308</v>
      </c>
      <c r="L68" s="127"/>
      <c r="M68" s="131"/>
      <c r="N68" s="131"/>
      <c r="O68" s="129"/>
      <c r="P68" s="130"/>
    </row>
    <row r="69" ht="20.4" customHeight="1" spans="1:16">
      <c r="A69" s="106">
        <v>4563924225</v>
      </c>
      <c r="B69" s="106" t="s">
        <v>69</v>
      </c>
      <c r="C69" s="107" t="s">
        <v>126</v>
      </c>
      <c r="D69" s="108">
        <v>1</v>
      </c>
      <c r="E69" s="108">
        <v>176</v>
      </c>
      <c r="F69" s="109"/>
      <c r="G69" s="42">
        <f t="shared" si="1"/>
        <v>176</v>
      </c>
      <c r="H69" s="110" t="s">
        <v>304</v>
      </c>
      <c r="I69" s="124" t="s">
        <v>151</v>
      </c>
      <c r="J69" s="125" t="s">
        <v>70</v>
      </c>
      <c r="K69" s="126" t="s">
        <v>308</v>
      </c>
      <c r="L69" s="127"/>
      <c r="M69" s="131"/>
      <c r="N69" s="131"/>
      <c r="O69" s="129"/>
      <c r="P69" s="130"/>
    </row>
    <row r="70" ht="20.4" customHeight="1" spans="1:16">
      <c r="A70" s="106">
        <v>4563924226</v>
      </c>
      <c r="B70" s="106" t="s">
        <v>69</v>
      </c>
      <c r="C70" s="107" t="s">
        <v>65</v>
      </c>
      <c r="D70" s="108">
        <v>1</v>
      </c>
      <c r="E70" s="108">
        <v>196</v>
      </c>
      <c r="F70" s="109"/>
      <c r="G70" s="42">
        <f t="shared" si="1"/>
        <v>196</v>
      </c>
      <c r="H70" s="110"/>
      <c r="I70" s="124" t="s">
        <v>48</v>
      </c>
      <c r="J70" s="125" t="s">
        <v>70</v>
      </c>
      <c r="K70" s="126" t="s">
        <v>308</v>
      </c>
      <c r="L70" s="127"/>
      <c r="M70" s="131"/>
      <c r="N70" s="131"/>
      <c r="O70" s="129"/>
      <c r="P70" s="130"/>
    </row>
    <row r="71" ht="20.4" customHeight="1" spans="1:16">
      <c r="A71" s="106">
        <v>4563924227</v>
      </c>
      <c r="B71" s="106" t="s">
        <v>69</v>
      </c>
      <c r="C71" s="107" t="s">
        <v>126</v>
      </c>
      <c r="D71" s="108">
        <v>1</v>
      </c>
      <c r="E71" s="108">
        <v>176</v>
      </c>
      <c r="F71" s="109"/>
      <c r="G71" s="42">
        <f t="shared" ref="G71:G133" si="2">D71*E71</f>
        <v>176</v>
      </c>
      <c r="H71" s="110" t="s">
        <v>130</v>
      </c>
      <c r="I71" s="124" t="s">
        <v>293</v>
      </c>
      <c r="J71" s="125" t="s">
        <v>70</v>
      </c>
      <c r="K71" s="126" t="s">
        <v>308</v>
      </c>
      <c r="L71" s="127"/>
      <c r="M71" s="131"/>
      <c r="N71" s="131"/>
      <c r="O71" s="129"/>
      <c r="P71" s="130"/>
    </row>
    <row r="72" ht="20.4" customHeight="1" spans="1:16">
      <c r="A72" s="106">
        <v>4563924228</v>
      </c>
      <c r="B72" s="106" t="s">
        <v>69</v>
      </c>
      <c r="C72" s="107" t="s">
        <v>65</v>
      </c>
      <c r="D72" s="108">
        <v>1</v>
      </c>
      <c r="E72" s="108">
        <v>196</v>
      </c>
      <c r="F72" s="109"/>
      <c r="G72" s="42">
        <f t="shared" si="2"/>
        <v>196</v>
      </c>
      <c r="H72" s="110"/>
      <c r="I72" s="124" t="s">
        <v>290</v>
      </c>
      <c r="J72" s="125" t="s">
        <v>70</v>
      </c>
      <c r="K72" s="126" t="s">
        <v>308</v>
      </c>
      <c r="L72" s="127"/>
      <c r="M72" s="131"/>
      <c r="N72" s="131"/>
      <c r="O72" s="129"/>
      <c r="P72" s="130"/>
    </row>
    <row r="73" ht="20.4" customHeight="1" spans="1:16">
      <c r="A73" s="106">
        <v>4563924229</v>
      </c>
      <c r="B73" s="106" t="s">
        <v>69</v>
      </c>
      <c r="C73" s="107" t="s">
        <v>65</v>
      </c>
      <c r="D73" s="108">
        <v>1</v>
      </c>
      <c r="E73" s="108">
        <v>647</v>
      </c>
      <c r="F73" s="109"/>
      <c r="G73" s="42">
        <f t="shared" si="2"/>
        <v>647</v>
      </c>
      <c r="H73" s="110" t="s">
        <v>309</v>
      </c>
      <c r="I73" s="124" t="s">
        <v>82</v>
      </c>
      <c r="J73" s="125" t="s">
        <v>70</v>
      </c>
      <c r="K73" s="126" t="s">
        <v>308</v>
      </c>
      <c r="L73" s="127"/>
      <c r="M73" s="131"/>
      <c r="N73" s="131"/>
      <c r="O73" s="129"/>
      <c r="P73" s="130"/>
    </row>
    <row r="74" ht="20.4" customHeight="1" spans="1:16">
      <c r="A74" s="106">
        <v>4563924230</v>
      </c>
      <c r="B74" s="106" t="s">
        <v>69</v>
      </c>
      <c r="C74" s="107" t="s">
        <v>65</v>
      </c>
      <c r="D74" s="108">
        <v>1</v>
      </c>
      <c r="E74" s="108">
        <v>255</v>
      </c>
      <c r="F74" s="109"/>
      <c r="G74" s="42">
        <f t="shared" si="2"/>
        <v>255</v>
      </c>
      <c r="H74" s="110"/>
      <c r="I74" s="124" t="s">
        <v>48</v>
      </c>
      <c r="J74" s="125" t="s">
        <v>70</v>
      </c>
      <c r="K74" s="126" t="s">
        <v>308</v>
      </c>
      <c r="L74" s="127"/>
      <c r="M74" s="131"/>
      <c r="N74" s="131"/>
      <c r="O74" s="129"/>
      <c r="P74" s="130"/>
    </row>
    <row r="75" ht="20.4" customHeight="1" spans="1:16">
      <c r="A75" s="106">
        <v>4563924231</v>
      </c>
      <c r="B75" s="106" t="s">
        <v>69</v>
      </c>
      <c r="C75" s="107" t="s">
        <v>65</v>
      </c>
      <c r="D75" s="108">
        <v>1</v>
      </c>
      <c r="E75" s="108">
        <v>196</v>
      </c>
      <c r="F75" s="109"/>
      <c r="G75" s="42">
        <f t="shared" si="2"/>
        <v>196</v>
      </c>
      <c r="H75" s="110"/>
      <c r="I75" s="124" t="s">
        <v>293</v>
      </c>
      <c r="J75" s="125" t="s">
        <v>70</v>
      </c>
      <c r="K75" s="126" t="s">
        <v>308</v>
      </c>
      <c r="L75" s="127"/>
      <c r="M75" s="131"/>
      <c r="N75" s="131"/>
      <c r="O75" s="129"/>
      <c r="P75" s="130"/>
    </row>
    <row r="76" ht="20.4" customHeight="1" spans="1:16">
      <c r="A76" s="106">
        <v>4563924232</v>
      </c>
      <c r="B76" s="106" t="s">
        <v>69</v>
      </c>
      <c r="C76" s="107" t="s">
        <v>126</v>
      </c>
      <c r="D76" s="108">
        <v>1</v>
      </c>
      <c r="E76" s="108">
        <v>176</v>
      </c>
      <c r="F76" s="109"/>
      <c r="G76" s="42">
        <f t="shared" si="2"/>
        <v>176</v>
      </c>
      <c r="H76" s="110"/>
      <c r="I76" s="124" t="s">
        <v>151</v>
      </c>
      <c r="J76" s="125" t="s">
        <v>70</v>
      </c>
      <c r="K76" s="126" t="s">
        <v>308</v>
      </c>
      <c r="L76" s="127"/>
      <c r="M76" s="131"/>
      <c r="N76" s="131"/>
      <c r="O76" s="129"/>
      <c r="P76" s="130"/>
    </row>
    <row r="77" ht="20.4" customHeight="1" spans="1:16">
      <c r="A77" s="106">
        <v>4563924233</v>
      </c>
      <c r="B77" s="106" t="s">
        <v>69</v>
      </c>
      <c r="C77" s="107" t="s">
        <v>65</v>
      </c>
      <c r="D77" s="108">
        <v>1</v>
      </c>
      <c r="E77" s="108">
        <v>196</v>
      </c>
      <c r="F77" s="109"/>
      <c r="G77" s="42">
        <f t="shared" si="2"/>
        <v>196</v>
      </c>
      <c r="H77" s="110" t="s">
        <v>310</v>
      </c>
      <c r="I77" s="124" t="s">
        <v>48</v>
      </c>
      <c r="J77" s="125" t="s">
        <v>70</v>
      </c>
      <c r="K77" s="126" t="s">
        <v>308</v>
      </c>
      <c r="L77" s="127"/>
      <c r="M77" s="131"/>
      <c r="N77" s="131"/>
      <c r="O77" s="129"/>
      <c r="P77" s="130"/>
    </row>
    <row r="78" ht="20.4" customHeight="1" spans="1:16">
      <c r="A78" s="106">
        <v>4563924234</v>
      </c>
      <c r="B78" s="106" t="s">
        <v>69</v>
      </c>
      <c r="C78" s="107" t="s">
        <v>65</v>
      </c>
      <c r="D78" s="108">
        <v>1</v>
      </c>
      <c r="E78" s="108">
        <v>255</v>
      </c>
      <c r="F78" s="109"/>
      <c r="G78" s="42">
        <f t="shared" si="2"/>
        <v>255</v>
      </c>
      <c r="H78" s="110"/>
      <c r="I78" s="124" t="s">
        <v>48</v>
      </c>
      <c r="J78" s="125" t="s">
        <v>70</v>
      </c>
      <c r="K78" s="126" t="s">
        <v>308</v>
      </c>
      <c r="L78" s="127"/>
      <c r="M78" s="131"/>
      <c r="N78" s="131"/>
      <c r="O78" s="129"/>
      <c r="P78" s="130"/>
    </row>
    <row r="79" ht="20.4" customHeight="1" spans="1:16">
      <c r="A79" s="106">
        <v>4563924235</v>
      </c>
      <c r="B79" s="106" t="s">
        <v>69</v>
      </c>
      <c r="C79" s="107" t="s">
        <v>65</v>
      </c>
      <c r="D79" s="108">
        <v>1</v>
      </c>
      <c r="E79" s="108">
        <v>255</v>
      </c>
      <c r="F79" s="109"/>
      <c r="G79" s="42">
        <f t="shared" si="2"/>
        <v>255</v>
      </c>
      <c r="H79" s="110"/>
      <c r="I79" s="124" t="s">
        <v>293</v>
      </c>
      <c r="J79" s="125" t="s">
        <v>70</v>
      </c>
      <c r="K79" s="126" t="s">
        <v>308</v>
      </c>
      <c r="L79" s="127"/>
      <c r="M79" s="131"/>
      <c r="N79" s="131"/>
      <c r="O79" s="129"/>
      <c r="P79" s="130"/>
    </row>
    <row r="80" ht="20.4" customHeight="1" spans="1:16">
      <c r="A80" s="106">
        <v>4563924236</v>
      </c>
      <c r="B80" s="106" t="s">
        <v>69</v>
      </c>
      <c r="C80" s="107" t="s">
        <v>65</v>
      </c>
      <c r="D80" s="108">
        <v>1</v>
      </c>
      <c r="E80" s="108">
        <v>236</v>
      </c>
      <c r="F80" s="109"/>
      <c r="G80" s="42">
        <f t="shared" si="2"/>
        <v>236</v>
      </c>
      <c r="H80" s="110"/>
      <c r="I80" s="124" t="s">
        <v>48</v>
      </c>
      <c r="J80" s="125" t="s">
        <v>70</v>
      </c>
      <c r="K80" s="126" t="s">
        <v>311</v>
      </c>
      <c r="L80" s="127"/>
      <c r="M80" s="131"/>
      <c r="N80" s="131"/>
      <c r="O80" s="129"/>
      <c r="P80" s="130"/>
    </row>
    <row r="81" ht="20.4" customHeight="1" spans="1:16">
      <c r="A81" s="106">
        <v>4563924237</v>
      </c>
      <c r="B81" s="106" t="s">
        <v>69</v>
      </c>
      <c r="C81" s="107" t="s">
        <v>65</v>
      </c>
      <c r="D81" s="108">
        <v>1</v>
      </c>
      <c r="E81" s="108">
        <v>197</v>
      </c>
      <c r="F81" s="109"/>
      <c r="G81" s="42">
        <f t="shared" si="2"/>
        <v>197</v>
      </c>
      <c r="H81" s="110" t="s">
        <v>312</v>
      </c>
      <c r="I81" s="124" t="s">
        <v>48</v>
      </c>
      <c r="J81" s="125" t="s">
        <v>70</v>
      </c>
      <c r="K81" s="126" t="s">
        <v>311</v>
      </c>
      <c r="L81" s="127"/>
      <c r="M81" s="131"/>
      <c r="N81" s="131"/>
      <c r="O81" s="129"/>
      <c r="P81" s="130"/>
    </row>
    <row r="82" ht="20.4" customHeight="1" spans="1:16">
      <c r="A82" s="106">
        <v>4563924238</v>
      </c>
      <c r="B82" s="106" t="s">
        <v>69</v>
      </c>
      <c r="C82" s="107" t="s">
        <v>65</v>
      </c>
      <c r="D82" s="108">
        <v>1</v>
      </c>
      <c r="E82" s="108">
        <v>197</v>
      </c>
      <c r="F82" s="109"/>
      <c r="G82" s="42">
        <f t="shared" si="2"/>
        <v>197</v>
      </c>
      <c r="H82" s="110" t="s">
        <v>313</v>
      </c>
      <c r="I82" s="124" t="s">
        <v>82</v>
      </c>
      <c r="J82" s="125" t="s">
        <v>70</v>
      </c>
      <c r="K82" s="126" t="s">
        <v>311</v>
      </c>
      <c r="L82" s="127"/>
      <c r="M82" s="131"/>
      <c r="N82" s="131"/>
      <c r="O82" s="129"/>
      <c r="P82" s="130"/>
    </row>
    <row r="83" ht="20.4" customHeight="1" spans="1:16">
      <c r="A83" s="106">
        <v>4563924239</v>
      </c>
      <c r="B83" s="106" t="s">
        <v>69</v>
      </c>
      <c r="C83" s="107" t="s">
        <v>126</v>
      </c>
      <c r="D83" s="108">
        <v>1</v>
      </c>
      <c r="E83" s="108">
        <v>177</v>
      </c>
      <c r="F83" s="109"/>
      <c r="G83" s="42">
        <f t="shared" si="2"/>
        <v>177</v>
      </c>
      <c r="H83" s="110" t="s">
        <v>304</v>
      </c>
      <c r="I83" s="124" t="s">
        <v>82</v>
      </c>
      <c r="J83" s="125" t="s">
        <v>70</v>
      </c>
      <c r="K83" s="126" t="s">
        <v>311</v>
      </c>
      <c r="L83" s="127"/>
      <c r="M83" s="131"/>
      <c r="N83" s="131"/>
      <c r="O83" s="129"/>
      <c r="P83" s="130"/>
    </row>
    <row r="84" ht="20.4" customHeight="1" spans="1:16">
      <c r="A84" s="106">
        <v>4563924240</v>
      </c>
      <c r="B84" s="106" t="s">
        <v>69</v>
      </c>
      <c r="C84" s="107" t="s">
        <v>126</v>
      </c>
      <c r="D84" s="108">
        <v>1</v>
      </c>
      <c r="E84" s="108">
        <v>177</v>
      </c>
      <c r="F84" s="109"/>
      <c r="G84" s="42">
        <f t="shared" si="2"/>
        <v>177</v>
      </c>
      <c r="H84" s="110" t="s">
        <v>314</v>
      </c>
      <c r="I84" s="124" t="s">
        <v>82</v>
      </c>
      <c r="J84" s="125" t="s">
        <v>70</v>
      </c>
      <c r="K84" s="126" t="s">
        <v>311</v>
      </c>
      <c r="L84" s="127"/>
      <c r="M84" s="131"/>
      <c r="N84" s="131"/>
      <c r="O84" s="129"/>
      <c r="P84" s="130"/>
    </row>
    <row r="85" ht="20.4" customHeight="1" spans="1:16">
      <c r="A85" s="106">
        <v>4563924241</v>
      </c>
      <c r="B85" s="106" t="s">
        <v>69</v>
      </c>
      <c r="C85" s="107" t="s">
        <v>65</v>
      </c>
      <c r="D85" s="108">
        <v>1</v>
      </c>
      <c r="E85" s="108">
        <v>256</v>
      </c>
      <c r="F85" s="109"/>
      <c r="G85" s="42">
        <f t="shared" si="2"/>
        <v>256</v>
      </c>
      <c r="H85" s="110"/>
      <c r="I85" s="124" t="s">
        <v>151</v>
      </c>
      <c r="J85" s="125" t="s">
        <v>70</v>
      </c>
      <c r="K85" s="126" t="s">
        <v>311</v>
      </c>
      <c r="L85" s="127"/>
      <c r="M85" s="131"/>
      <c r="N85" s="131"/>
      <c r="O85" s="129"/>
      <c r="P85" s="130"/>
    </row>
    <row r="86" ht="20.4" customHeight="1" spans="1:16">
      <c r="A86" s="106">
        <v>4563924242</v>
      </c>
      <c r="B86" s="106" t="s">
        <v>69</v>
      </c>
      <c r="C86" s="107" t="s">
        <v>65</v>
      </c>
      <c r="D86" s="108">
        <v>1</v>
      </c>
      <c r="E86" s="108">
        <v>591</v>
      </c>
      <c r="F86" s="109"/>
      <c r="G86" s="42">
        <f t="shared" si="2"/>
        <v>591</v>
      </c>
      <c r="H86" s="110" t="s">
        <v>315</v>
      </c>
      <c r="I86" s="124" t="s">
        <v>151</v>
      </c>
      <c r="J86" s="125" t="s">
        <v>70</v>
      </c>
      <c r="K86" s="126" t="s">
        <v>311</v>
      </c>
      <c r="L86" s="127"/>
      <c r="M86" s="131"/>
      <c r="N86" s="131"/>
      <c r="O86" s="129"/>
      <c r="P86" s="130"/>
    </row>
    <row r="87" ht="20.4" customHeight="1" spans="1:16">
      <c r="A87" s="106">
        <v>4563924243</v>
      </c>
      <c r="B87" s="106" t="s">
        <v>316</v>
      </c>
      <c r="C87" s="107" t="s">
        <v>65</v>
      </c>
      <c r="D87" s="108">
        <v>1</v>
      </c>
      <c r="E87" s="108">
        <v>237</v>
      </c>
      <c r="F87" s="109"/>
      <c r="G87" s="42">
        <f t="shared" si="2"/>
        <v>237</v>
      </c>
      <c r="H87" s="110"/>
      <c r="I87" s="124" t="s">
        <v>48</v>
      </c>
      <c r="J87" s="125" t="s">
        <v>200</v>
      </c>
      <c r="K87" s="126" t="s">
        <v>317</v>
      </c>
      <c r="L87" s="127"/>
      <c r="M87" s="131"/>
      <c r="N87" s="131"/>
      <c r="O87" s="129"/>
      <c r="P87" s="130"/>
    </row>
    <row r="88" ht="20.4" customHeight="1" spans="1:16">
      <c r="A88" s="106">
        <v>4563924244</v>
      </c>
      <c r="B88" s="106" t="s">
        <v>69</v>
      </c>
      <c r="C88" s="107" t="s">
        <v>126</v>
      </c>
      <c r="D88" s="108">
        <v>1</v>
      </c>
      <c r="E88" s="108">
        <v>178</v>
      </c>
      <c r="F88" s="109"/>
      <c r="G88" s="42">
        <f t="shared" si="2"/>
        <v>178</v>
      </c>
      <c r="H88" s="110" t="s">
        <v>304</v>
      </c>
      <c r="I88" s="124" t="s">
        <v>48</v>
      </c>
      <c r="J88" s="125" t="s">
        <v>200</v>
      </c>
      <c r="K88" s="126" t="s">
        <v>317</v>
      </c>
      <c r="L88" s="127"/>
      <c r="M88" s="131"/>
      <c r="N88" s="131"/>
      <c r="O88" s="129"/>
      <c r="P88" s="130"/>
    </row>
    <row r="89" ht="20.4" customHeight="1" spans="1:16">
      <c r="A89" s="106">
        <v>4563924245</v>
      </c>
      <c r="B89" s="106" t="s">
        <v>140</v>
      </c>
      <c r="C89" s="107" t="s">
        <v>65</v>
      </c>
      <c r="D89" s="108">
        <v>1</v>
      </c>
      <c r="E89" s="108">
        <v>257</v>
      </c>
      <c r="F89" s="109"/>
      <c r="G89" s="42">
        <f t="shared" si="2"/>
        <v>257</v>
      </c>
      <c r="H89" s="110"/>
      <c r="I89" s="124" t="s">
        <v>48</v>
      </c>
      <c r="J89" s="125" t="s">
        <v>200</v>
      </c>
      <c r="K89" s="126" t="s">
        <v>317</v>
      </c>
      <c r="L89" s="127"/>
      <c r="M89" s="131"/>
      <c r="N89" s="131"/>
      <c r="O89" s="129"/>
      <c r="P89" s="130"/>
    </row>
    <row r="90" ht="20.4" customHeight="1" spans="1:16">
      <c r="A90" s="106">
        <v>4563924246</v>
      </c>
      <c r="B90" s="106" t="s">
        <v>69</v>
      </c>
      <c r="C90" s="107" t="s">
        <v>126</v>
      </c>
      <c r="D90" s="108">
        <v>1</v>
      </c>
      <c r="E90" s="108">
        <v>178</v>
      </c>
      <c r="F90" s="109"/>
      <c r="G90" s="42">
        <f t="shared" si="2"/>
        <v>178</v>
      </c>
      <c r="H90" s="110" t="s">
        <v>292</v>
      </c>
      <c r="I90" s="124" t="s">
        <v>82</v>
      </c>
      <c r="J90" s="125" t="s">
        <v>200</v>
      </c>
      <c r="K90" s="126" t="s">
        <v>317</v>
      </c>
      <c r="L90" s="127"/>
      <c r="M90" s="131"/>
      <c r="N90" s="131"/>
      <c r="O90" s="129"/>
      <c r="P90" s="130"/>
    </row>
    <row r="91" ht="20.4" customHeight="1" spans="1:16">
      <c r="A91" s="106">
        <v>4563924247</v>
      </c>
      <c r="B91" s="106" t="s">
        <v>69</v>
      </c>
      <c r="C91" s="107" t="s">
        <v>65</v>
      </c>
      <c r="D91" s="108">
        <v>1</v>
      </c>
      <c r="E91" s="108">
        <v>257</v>
      </c>
      <c r="F91" s="109"/>
      <c r="G91" s="42">
        <f t="shared" si="2"/>
        <v>257</v>
      </c>
      <c r="H91" s="110"/>
      <c r="I91" s="124" t="s">
        <v>48</v>
      </c>
      <c r="J91" s="125" t="s">
        <v>200</v>
      </c>
      <c r="K91" s="126" t="s">
        <v>317</v>
      </c>
      <c r="L91" s="127"/>
      <c r="M91" s="131"/>
      <c r="N91" s="131"/>
      <c r="O91" s="129"/>
      <c r="P91" s="130"/>
    </row>
    <row r="92" ht="20.4" customHeight="1" spans="1:16">
      <c r="A92" s="106">
        <v>4563924248</v>
      </c>
      <c r="B92" s="106" t="s">
        <v>142</v>
      </c>
      <c r="C92" s="107" t="s">
        <v>65</v>
      </c>
      <c r="D92" s="108">
        <v>1</v>
      </c>
      <c r="E92" s="108">
        <v>257</v>
      </c>
      <c r="F92" s="109"/>
      <c r="G92" s="42">
        <f t="shared" si="2"/>
        <v>257</v>
      </c>
      <c r="H92" s="110"/>
      <c r="I92" s="124" t="s">
        <v>48</v>
      </c>
      <c r="J92" s="125" t="s">
        <v>200</v>
      </c>
      <c r="K92" s="126" t="s">
        <v>317</v>
      </c>
      <c r="L92" s="127"/>
      <c r="M92" s="131"/>
      <c r="N92" s="131"/>
      <c r="O92" s="129"/>
      <c r="P92" s="130"/>
    </row>
    <row r="93" ht="20.4" customHeight="1" spans="1:16">
      <c r="A93" s="106">
        <v>4563924249</v>
      </c>
      <c r="B93" s="106" t="s">
        <v>69</v>
      </c>
      <c r="C93" s="107" t="s">
        <v>126</v>
      </c>
      <c r="D93" s="108">
        <v>1</v>
      </c>
      <c r="E93" s="108">
        <v>178</v>
      </c>
      <c r="F93" s="109"/>
      <c r="G93" s="42">
        <f t="shared" si="2"/>
        <v>178</v>
      </c>
      <c r="H93" s="110" t="s">
        <v>130</v>
      </c>
      <c r="I93" s="124" t="s">
        <v>48</v>
      </c>
      <c r="J93" s="125" t="s">
        <v>200</v>
      </c>
      <c r="K93" s="126" t="s">
        <v>317</v>
      </c>
      <c r="L93" s="127"/>
      <c r="M93" s="131"/>
      <c r="N93" s="131"/>
      <c r="O93" s="129"/>
      <c r="P93" s="130"/>
    </row>
    <row r="94" ht="20.4" customHeight="1" spans="1:16">
      <c r="A94" s="106">
        <v>4563924250</v>
      </c>
      <c r="B94" s="106" t="s">
        <v>69</v>
      </c>
      <c r="C94" s="107" t="s">
        <v>126</v>
      </c>
      <c r="D94" s="108">
        <v>1</v>
      </c>
      <c r="E94" s="108">
        <v>178</v>
      </c>
      <c r="F94" s="109"/>
      <c r="G94" s="42">
        <f t="shared" si="2"/>
        <v>178</v>
      </c>
      <c r="H94" s="110" t="s">
        <v>301</v>
      </c>
      <c r="I94" s="124" t="s">
        <v>48</v>
      </c>
      <c r="J94" s="125" t="s">
        <v>200</v>
      </c>
      <c r="K94" s="126" t="s">
        <v>317</v>
      </c>
      <c r="L94" s="127"/>
      <c r="M94" s="131"/>
      <c r="N94" s="131"/>
      <c r="O94" s="129"/>
      <c r="P94" s="130"/>
    </row>
    <row r="95" ht="20.4" customHeight="1" spans="1:16">
      <c r="A95" s="106"/>
      <c r="B95" s="106"/>
      <c r="C95" s="107"/>
      <c r="D95" s="108"/>
      <c r="E95" s="108"/>
      <c r="F95" s="109"/>
      <c r="G95" s="42">
        <f t="shared" si="2"/>
        <v>0</v>
      </c>
      <c r="H95" s="110"/>
      <c r="I95" s="124"/>
      <c r="J95" s="125"/>
      <c r="K95" s="126"/>
      <c r="L95" s="127"/>
      <c r="M95" s="131"/>
      <c r="N95" s="131"/>
      <c r="O95" s="129"/>
      <c r="P95" s="130"/>
    </row>
    <row r="96" ht="20.4" customHeight="1" spans="1:16">
      <c r="A96" s="106"/>
      <c r="B96" s="106"/>
      <c r="C96" s="107"/>
      <c r="D96" s="108"/>
      <c r="E96" s="108"/>
      <c r="F96" s="109"/>
      <c r="G96" s="42">
        <f t="shared" si="2"/>
        <v>0</v>
      </c>
      <c r="H96" s="110"/>
      <c r="I96" s="124"/>
      <c r="J96" s="125"/>
      <c r="K96" s="126"/>
      <c r="L96" s="127"/>
      <c r="M96" s="131"/>
      <c r="N96" s="131"/>
      <c r="O96" s="129"/>
      <c r="P96" s="130"/>
    </row>
    <row r="97" ht="20.4" customHeight="1" spans="1:16">
      <c r="A97" s="106"/>
      <c r="B97" s="106"/>
      <c r="C97" s="107"/>
      <c r="D97" s="108"/>
      <c r="E97" s="108"/>
      <c r="F97" s="109"/>
      <c r="G97" s="42">
        <f t="shared" si="2"/>
        <v>0</v>
      </c>
      <c r="H97" s="110"/>
      <c r="I97" s="124"/>
      <c r="J97" s="125"/>
      <c r="K97" s="126"/>
      <c r="L97" s="127"/>
      <c r="M97" s="131"/>
      <c r="N97" s="131"/>
      <c r="O97" s="129"/>
      <c r="P97" s="130"/>
    </row>
    <row r="98" ht="20.4" customHeight="1" spans="1:16">
      <c r="A98" s="106"/>
      <c r="B98" s="106"/>
      <c r="C98" s="107"/>
      <c r="D98" s="108"/>
      <c r="E98" s="108"/>
      <c r="F98" s="109"/>
      <c r="G98" s="42">
        <f t="shared" si="2"/>
        <v>0</v>
      </c>
      <c r="H98" s="110"/>
      <c r="I98" s="124"/>
      <c r="J98" s="125"/>
      <c r="K98" s="126"/>
      <c r="L98" s="127"/>
      <c r="M98" s="131"/>
      <c r="N98" s="131"/>
      <c r="O98" s="129"/>
      <c r="P98" s="130"/>
    </row>
    <row r="99" ht="20.4" customHeight="1" spans="1:16">
      <c r="A99" s="106"/>
      <c r="B99" s="106"/>
      <c r="C99" s="107"/>
      <c r="D99" s="108"/>
      <c r="E99" s="108"/>
      <c r="F99" s="109"/>
      <c r="G99" s="42">
        <f t="shared" si="2"/>
        <v>0</v>
      </c>
      <c r="H99" s="110"/>
      <c r="I99" s="124"/>
      <c r="J99" s="125"/>
      <c r="K99" s="126"/>
      <c r="L99" s="127"/>
      <c r="M99" s="131"/>
      <c r="N99" s="131"/>
      <c r="O99" s="129"/>
      <c r="P99" s="130"/>
    </row>
    <row r="100" ht="20.4" customHeight="1" spans="1:16">
      <c r="A100" s="106"/>
      <c r="B100" s="106"/>
      <c r="C100" s="107"/>
      <c r="D100" s="108"/>
      <c r="E100" s="108"/>
      <c r="F100" s="109"/>
      <c r="G100" s="42">
        <f t="shared" si="2"/>
        <v>0</v>
      </c>
      <c r="H100" s="110"/>
      <c r="I100" s="124"/>
      <c r="J100" s="125"/>
      <c r="K100" s="126"/>
      <c r="L100" s="127"/>
      <c r="M100" s="131"/>
      <c r="N100" s="131"/>
      <c r="O100" s="129"/>
      <c r="P100" s="130"/>
    </row>
    <row r="101" ht="20.4" customHeight="1" spans="1:16">
      <c r="A101" s="106"/>
      <c r="B101" s="106"/>
      <c r="C101" s="107"/>
      <c r="D101" s="108"/>
      <c r="E101" s="108"/>
      <c r="F101" s="109"/>
      <c r="G101" s="42">
        <f t="shared" si="2"/>
        <v>0</v>
      </c>
      <c r="H101" s="110"/>
      <c r="I101" s="124"/>
      <c r="J101" s="125"/>
      <c r="K101" s="126"/>
      <c r="L101" s="127"/>
      <c r="M101" s="131"/>
      <c r="N101" s="131"/>
      <c r="O101" s="129"/>
      <c r="P101" s="130"/>
    </row>
    <row r="102" ht="20.4" customHeight="1" spans="1:16">
      <c r="A102" s="106"/>
      <c r="B102" s="106"/>
      <c r="C102" s="107"/>
      <c r="D102" s="108"/>
      <c r="E102" s="108"/>
      <c r="F102" s="109"/>
      <c r="G102" s="42">
        <f t="shared" si="2"/>
        <v>0</v>
      </c>
      <c r="H102" s="110"/>
      <c r="I102" s="124"/>
      <c r="J102" s="125"/>
      <c r="K102" s="126"/>
      <c r="L102" s="127"/>
      <c r="M102" s="131"/>
      <c r="N102" s="131"/>
      <c r="O102" s="129"/>
      <c r="P102" s="130"/>
    </row>
    <row r="103" ht="20.4" customHeight="1" spans="1:16">
      <c r="A103" s="106"/>
      <c r="B103" s="106"/>
      <c r="C103" s="107"/>
      <c r="D103" s="108"/>
      <c r="E103" s="108"/>
      <c r="F103" s="109"/>
      <c r="G103" s="42">
        <f t="shared" si="2"/>
        <v>0</v>
      </c>
      <c r="H103" s="110"/>
      <c r="I103" s="124"/>
      <c r="J103" s="125"/>
      <c r="K103" s="126"/>
      <c r="L103" s="127"/>
      <c r="M103" s="131"/>
      <c r="N103" s="131"/>
      <c r="O103" s="129"/>
      <c r="P103" s="130"/>
    </row>
    <row r="104" ht="20.4" customHeight="1" spans="1:16">
      <c r="A104" s="106"/>
      <c r="B104" s="106"/>
      <c r="C104" s="107"/>
      <c r="D104" s="108"/>
      <c r="E104" s="108"/>
      <c r="F104" s="109"/>
      <c r="G104" s="42">
        <f t="shared" si="2"/>
        <v>0</v>
      </c>
      <c r="H104" s="110"/>
      <c r="I104" s="124"/>
      <c r="J104" s="125"/>
      <c r="K104" s="126"/>
      <c r="L104" s="127"/>
      <c r="M104" s="131"/>
      <c r="N104" s="131"/>
      <c r="O104" s="129"/>
      <c r="P104" s="130"/>
    </row>
    <row r="105" ht="20.4" customHeight="1" spans="1:16">
      <c r="A105" s="106"/>
      <c r="B105" s="106"/>
      <c r="C105" s="107"/>
      <c r="D105" s="108"/>
      <c r="E105" s="108"/>
      <c r="F105" s="109"/>
      <c r="G105" s="42">
        <f t="shared" si="2"/>
        <v>0</v>
      </c>
      <c r="H105" s="110"/>
      <c r="I105" s="124"/>
      <c r="J105" s="125"/>
      <c r="K105" s="126"/>
      <c r="L105" s="127"/>
      <c r="M105" s="131"/>
      <c r="N105" s="131"/>
      <c r="O105" s="129"/>
      <c r="P105" s="130"/>
    </row>
    <row r="106" ht="20.4" customHeight="1" spans="1:16">
      <c r="A106" s="106"/>
      <c r="B106" s="106"/>
      <c r="C106" s="107"/>
      <c r="D106" s="108"/>
      <c r="E106" s="108"/>
      <c r="F106" s="109"/>
      <c r="G106" s="42">
        <f t="shared" si="2"/>
        <v>0</v>
      </c>
      <c r="H106" s="110"/>
      <c r="I106" s="124"/>
      <c r="J106" s="125"/>
      <c r="K106" s="126"/>
      <c r="L106" s="127"/>
      <c r="M106" s="131"/>
      <c r="N106" s="131"/>
      <c r="O106" s="129"/>
      <c r="P106" s="130"/>
    </row>
    <row r="107" ht="20.4" customHeight="1" spans="1:16">
      <c r="A107" s="106"/>
      <c r="B107" s="106"/>
      <c r="C107" s="107"/>
      <c r="D107" s="108"/>
      <c r="E107" s="108"/>
      <c r="F107" s="109"/>
      <c r="G107" s="42">
        <f t="shared" si="2"/>
        <v>0</v>
      </c>
      <c r="H107" s="110"/>
      <c r="I107" s="124"/>
      <c r="J107" s="125"/>
      <c r="K107" s="126"/>
      <c r="L107" s="127"/>
      <c r="M107" s="131"/>
      <c r="N107" s="131"/>
      <c r="O107" s="129"/>
      <c r="P107" s="130"/>
    </row>
    <row r="108" ht="20.4" customHeight="1" spans="1:16">
      <c r="A108" s="106"/>
      <c r="B108" s="106"/>
      <c r="C108" s="107"/>
      <c r="D108" s="108"/>
      <c r="E108" s="108"/>
      <c r="F108" s="109"/>
      <c r="G108" s="42">
        <f t="shared" si="2"/>
        <v>0</v>
      </c>
      <c r="H108" s="110"/>
      <c r="I108" s="124"/>
      <c r="J108" s="125"/>
      <c r="K108" s="126"/>
      <c r="L108" s="127"/>
      <c r="M108" s="131"/>
      <c r="N108" s="131"/>
      <c r="O108" s="129"/>
      <c r="P108" s="130"/>
    </row>
    <row r="109" ht="20.4" customHeight="1" spans="1:16">
      <c r="A109" s="106"/>
      <c r="B109" s="106"/>
      <c r="C109" s="107"/>
      <c r="D109" s="108"/>
      <c r="E109" s="108"/>
      <c r="F109" s="109"/>
      <c r="G109" s="42">
        <f t="shared" si="2"/>
        <v>0</v>
      </c>
      <c r="H109" s="110"/>
      <c r="I109" s="124"/>
      <c r="J109" s="125"/>
      <c r="K109" s="126"/>
      <c r="L109" s="127"/>
      <c r="M109" s="131"/>
      <c r="N109" s="131"/>
      <c r="O109" s="129"/>
      <c r="P109" s="130"/>
    </row>
    <row r="110" ht="20.4" customHeight="1" spans="1:16">
      <c r="A110" s="106"/>
      <c r="B110" s="106"/>
      <c r="C110" s="107"/>
      <c r="D110" s="108"/>
      <c r="E110" s="108"/>
      <c r="F110" s="109"/>
      <c r="G110" s="42">
        <f t="shared" si="2"/>
        <v>0</v>
      </c>
      <c r="H110" s="110"/>
      <c r="I110" s="124"/>
      <c r="J110" s="125"/>
      <c r="K110" s="126"/>
      <c r="L110" s="127"/>
      <c r="M110" s="131"/>
      <c r="N110" s="131"/>
      <c r="O110" s="129"/>
      <c r="P110" s="130"/>
    </row>
    <row r="111" ht="20.4" customHeight="1" spans="1:16">
      <c r="A111" s="106"/>
      <c r="B111" s="106"/>
      <c r="C111" s="107"/>
      <c r="D111" s="108"/>
      <c r="E111" s="108"/>
      <c r="F111" s="109"/>
      <c r="G111" s="42">
        <f t="shared" si="2"/>
        <v>0</v>
      </c>
      <c r="H111" s="110"/>
      <c r="I111" s="124"/>
      <c r="J111" s="125"/>
      <c r="K111" s="126"/>
      <c r="L111" s="127"/>
      <c r="M111" s="131"/>
      <c r="N111" s="131"/>
      <c r="O111" s="129"/>
      <c r="P111" s="130"/>
    </row>
    <row r="112" ht="20.4" customHeight="1" spans="1:16">
      <c r="A112" s="106"/>
      <c r="B112" s="106"/>
      <c r="C112" s="107"/>
      <c r="D112" s="108"/>
      <c r="E112" s="108"/>
      <c r="F112" s="109"/>
      <c r="G112" s="42">
        <f t="shared" si="2"/>
        <v>0</v>
      </c>
      <c r="H112" s="110"/>
      <c r="I112" s="124"/>
      <c r="J112" s="125"/>
      <c r="K112" s="126"/>
      <c r="L112" s="127"/>
      <c r="M112" s="131"/>
      <c r="N112" s="131"/>
      <c r="O112" s="129"/>
      <c r="P112" s="130"/>
    </row>
    <row r="113" ht="20.4" customHeight="1" spans="1:16">
      <c r="A113" s="106"/>
      <c r="B113" s="106"/>
      <c r="C113" s="107"/>
      <c r="D113" s="108"/>
      <c r="E113" s="108"/>
      <c r="F113" s="109"/>
      <c r="G113" s="42">
        <f t="shared" si="2"/>
        <v>0</v>
      </c>
      <c r="H113" s="110"/>
      <c r="I113" s="124"/>
      <c r="J113" s="125"/>
      <c r="K113" s="126"/>
      <c r="L113" s="127"/>
      <c r="M113" s="131"/>
      <c r="N113" s="131"/>
      <c r="O113" s="129"/>
      <c r="P113" s="130"/>
    </row>
    <row r="114" ht="20.4" customHeight="1" spans="1:16">
      <c r="A114" s="106"/>
      <c r="B114" s="106"/>
      <c r="C114" s="107"/>
      <c r="D114" s="108"/>
      <c r="E114" s="108"/>
      <c r="F114" s="109"/>
      <c r="G114" s="42">
        <f t="shared" si="2"/>
        <v>0</v>
      </c>
      <c r="H114" s="110"/>
      <c r="I114" s="124"/>
      <c r="J114" s="125"/>
      <c r="K114" s="126"/>
      <c r="L114" s="127"/>
      <c r="M114" s="131"/>
      <c r="N114" s="131"/>
      <c r="O114" s="129"/>
      <c r="P114" s="130"/>
    </row>
    <row r="115" ht="20.4" customHeight="1" spans="1:16">
      <c r="A115" s="106"/>
      <c r="B115" s="106"/>
      <c r="C115" s="107"/>
      <c r="D115" s="108"/>
      <c r="E115" s="108"/>
      <c r="F115" s="109"/>
      <c r="G115" s="42">
        <f t="shared" si="2"/>
        <v>0</v>
      </c>
      <c r="H115" s="110"/>
      <c r="I115" s="124"/>
      <c r="J115" s="125"/>
      <c r="K115" s="126"/>
      <c r="L115" s="127"/>
      <c r="M115" s="131"/>
      <c r="N115" s="131"/>
      <c r="O115" s="129"/>
      <c r="P115" s="130"/>
    </row>
    <row r="116" ht="20.4" customHeight="1" spans="1:16">
      <c r="A116" s="106"/>
      <c r="B116" s="106"/>
      <c r="C116" s="107"/>
      <c r="D116" s="108"/>
      <c r="E116" s="108"/>
      <c r="F116" s="109"/>
      <c r="G116" s="42">
        <f t="shared" si="2"/>
        <v>0</v>
      </c>
      <c r="H116" s="110"/>
      <c r="I116" s="124"/>
      <c r="J116" s="125"/>
      <c r="K116" s="126"/>
      <c r="L116" s="127"/>
      <c r="M116" s="131"/>
      <c r="N116" s="131"/>
      <c r="O116" s="129"/>
      <c r="P116" s="130"/>
    </row>
    <row r="117" ht="20.4" customHeight="1" spans="1:16">
      <c r="A117" s="106"/>
      <c r="B117" s="106"/>
      <c r="C117" s="107"/>
      <c r="D117" s="108"/>
      <c r="E117" s="108"/>
      <c r="F117" s="109"/>
      <c r="G117" s="42">
        <f t="shared" si="2"/>
        <v>0</v>
      </c>
      <c r="H117" s="110"/>
      <c r="I117" s="124"/>
      <c r="J117" s="125"/>
      <c r="K117" s="126"/>
      <c r="L117" s="127"/>
      <c r="M117" s="131"/>
      <c r="N117" s="131"/>
      <c r="O117" s="129"/>
      <c r="P117" s="130"/>
    </row>
    <row r="118" ht="20.4" customHeight="1" spans="1:16">
      <c r="A118" s="106"/>
      <c r="B118" s="106"/>
      <c r="C118" s="107"/>
      <c r="D118" s="108"/>
      <c r="E118" s="108"/>
      <c r="F118" s="109"/>
      <c r="G118" s="42">
        <f t="shared" si="2"/>
        <v>0</v>
      </c>
      <c r="H118" s="110"/>
      <c r="I118" s="124"/>
      <c r="J118" s="125"/>
      <c r="K118" s="126"/>
      <c r="L118" s="127"/>
      <c r="M118" s="131"/>
      <c r="N118" s="131"/>
      <c r="O118" s="129"/>
      <c r="P118" s="130"/>
    </row>
    <row r="119" ht="20.4" customHeight="1" spans="1:16">
      <c r="A119" s="106"/>
      <c r="B119" s="106"/>
      <c r="C119" s="107"/>
      <c r="D119" s="108"/>
      <c r="E119" s="108"/>
      <c r="F119" s="109"/>
      <c r="G119" s="42">
        <f t="shared" si="2"/>
        <v>0</v>
      </c>
      <c r="H119" s="110"/>
      <c r="I119" s="124"/>
      <c r="J119" s="125"/>
      <c r="K119" s="126"/>
      <c r="L119" s="127"/>
      <c r="M119" s="131"/>
      <c r="N119" s="131"/>
      <c r="O119" s="129"/>
      <c r="P119" s="130"/>
    </row>
    <row r="120" ht="20.4" customHeight="1" spans="1:16">
      <c r="A120" s="106"/>
      <c r="B120" s="106"/>
      <c r="C120" s="107"/>
      <c r="D120" s="108"/>
      <c r="E120" s="108"/>
      <c r="F120" s="109"/>
      <c r="G120" s="42">
        <f t="shared" si="2"/>
        <v>0</v>
      </c>
      <c r="H120" s="110"/>
      <c r="I120" s="124"/>
      <c r="J120" s="125"/>
      <c r="K120" s="126"/>
      <c r="L120" s="127"/>
      <c r="M120" s="131"/>
      <c r="N120" s="131"/>
      <c r="O120" s="129"/>
      <c r="P120" s="130"/>
    </row>
    <row r="121" ht="20.4" customHeight="1" spans="1:16">
      <c r="A121" s="106"/>
      <c r="B121" s="106"/>
      <c r="C121" s="107"/>
      <c r="D121" s="108"/>
      <c r="E121" s="108"/>
      <c r="F121" s="109"/>
      <c r="G121" s="42">
        <f t="shared" si="2"/>
        <v>0</v>
      </c>
      <c r="H121" s="110"/>
      <c r="I121" s="124"/>
      <c r="J121" s="125"/>
      <c r="K121" s="126"/>
      <c r="L121" s="127"/>
      <c r="M121" s="131"/>
      <c r="N121" s="131"/>
      <c r="O121" s="129"/>
      <c r="P121" s="130"/>
    </row>
    <row r="122" ht="20.4" customHeight="1" spans="1:16">
      <c r="A122" s="106"/>
      <c r="B122" s="106"/>
      <c r="C122" s="107"/>
      <c r="D122" s="108"/>
      <c r="E122" s="108"/>
      <c r="F122" s="109"/>
      <c r="G122" s="42">
        <f t="shared" si="2"/>
        <v>0</v>
      </c>
      <c r="H122" s="110"/>
      <c r="I122" s="124"/>
      <c r="J122" s="125"/>
      <c r="K122" s="126"/>
      <c r="L122" s="127"/>
      <c r="M122" s="131"/>
      <c r="N122" s="131"/>
      <c r="O122" s="129"/>
      <c r="P122" s="130"/>
    </row>
    <row r="123" ht="20.4" customHeight="1" spans="1:16">
      <c r="A123" s="106"/>
      <c r="B123" s="106"/>
      <c r="C123" s="107"/>
      <c r="D123" s="108"/>
      <c r="E123" s="108"/>
      <c r="F123" s="109"/>
      <c r="G123" s="42">
        <f t="shared" si="2"/>
        <v>0</v>
      </c>
      <c r="H123" s="110"/>
      <c r="I123" s="124"/>
      <c r="J123" s="125"/>
      <c r="K123" s="126"/>
      <c r="L123" s="127"/>
      <c r="M123" s="131"/>
      <c r="N123" s="131"/>
      <c r="O123" s="129"/>
      <c r="P123" s="130"/>
    </row>
    <row r="124" ht="20.4" customHeight="1" spans="1:16">
      <c r="A124" s="106"/>
      <c r="B124" s="106"/>
      <c r="C124" s="107"/>
      <c r="D124" s="108"/>
      <c r="E124" s="108"/>
      <c r="F124" s="109"/>
      <c r="G124" s="42">
        <f t="shared" si="2"/>
        <v>0</v>
      </c>
      <c r="H124" s="110"/>
      <c r="I124" s="124"/>
      <c r="J124" s="125"/>
      <c r="K124" s="126"/>
      <c r="L124" s="127"/>
      <c r="M124" s="131"/>
      <c r="N124" s="131"/>
      <c r="O124" s="129"/>
      <c r="P124" s="130"/>
    </row>
    <row r="125" ht="20.4" customHeight="1" spans="1:16">
      <c r="A125" s="106"/>
      <c r="B125" s="106"/>
      <c r="C125" s="107"/>
      <c r="D125" s="108"/>
      <c r="E125" s="108"/>
      <c r="F125" s="109"/>
      <c r="G125" s="42">
        <f t="shared" si="2"/>
        <v>0</v>
      </c>
      <c r="H125" s="110"/>
      <c r="I125" s="124"/>
      <c r="J125" s="125"/>
      <c r="K125" s="126"/>
      <c r="L125" s="127"/>
      <c r="M125" s="131"/>
      <c r="N125" s="131"/>
      <c r="O125" s="129"/>
      <c r="P125" s="130"/>
    </row>
    <row r="126" ht="20.4" customHeight="1" spans="1:16">
      <c r="A126" s="106"/>
      <c r="B126" s="106"/>
      <c r="C126" s="107"/>
      <c r="D126" s="108"/>
      <c r="E126" s="108"/>
      <c r="F126" s="109"/>
      <c r="G126" s="42">
        <f t="shared" si="2"/>
        <v>0</v>
      </c>
      <c r="H126" s="110"/>
      <c r="I126" s="124"/>
      <c r="J126" s="125"/>
      <c r="K126" s="126"/>
      <c r="L126" s="127"/>
      <c r="M126" s="131"/>
      <c r="N126" s="131"/>
      <c r="O126" s="129"/>
      <c r="P126" s="130"/>
    </row>
    <row r="127" ht="20.4" customHeight="1" spans="1:16">
      <c r="A127" s="106"/>
      <c r="B127" s="106"/>
      <c r="C127" s="107"/>
      <c r="D127" s="108"/>
      <c r="E127" s="108"/>
      <c r="F127" s="109"/>
      <c r="G127" s="42">
        <f t="shared" si="2"/>
        <v>0</v>
      </c>
      <c r="H127" s="110"/>
      <c r="I127" s="124"/>
      <c r="J127" s="125"/>
      <c r="K127" s="126"/>
      <c r="L127" s="127"/>
      <c r="M127" s="131"/>
      <c r="N127" s="131"/>
      <c r="O127" s="129"/>
      <c r="P127" s="130"/>
    </row>
    <row r="128" ht="20.4" customHeight="1" spans="1:16">
      <c r="A128" s="106"/>
      <c r="B128" s="106"/>
      <c r="C128" s="107"/>
      <c r="D128" s="108"/>
      <c r="E128" s="108"/>
      <c r="F128" s="109"/>
      <c r="G128" s="42">
        <f t="shared" si="2"/>
        <v>0</v>
      </c>
      <c r="H128" s="110"/>
      <c r="I128" s="124"/>
      <c r="J128" s="125"/>
      <c r="K128" s="126"/>
      <c r="L128" s="127"/>
      <c r="M128" s="131"/>
      <c r="N128" s="131"/>
      <c r="O128" s="129"/>
      <c r="P128" s="130"/>
    </row>
    <row r="129" ht="20.4" customHeight="1" spans="1:16">
      <c r="A129" s="106"/>
      <c r="B129" s="106"/>
      <c r="C129" s="107"/>
      <c r="D129" s="108"/>
      <c r="E129" s="108"/>
      <c r="F129" s="109"/>
      <c r="G129" s="42">
        <f t="shared" si="2"/>
        <v>0</v>
      </c>
      <c r="H129" s="110"/>
      <c r="I129" s="124"/>
      <c r="J129" s="125"/>
      <c r="K129" s="126"/>
      <c r="L129" s="127"/>
      <c r="M129" s="131"/>
      <c r="N129" s="131"/>
      <c r="O129" s="129"/>
      <c r="P129" s="130"/>
    </row>
    <row r="130" ht="20.4" customHeight="1" spans="1:16">
      <c r="A130" s="106"/>
      <c r="B130" s="106"/>
      <c r="C130" s="107"/>
      <c r="D130" s="108"/>
      <c r="E130" s="108"/>
      <c r="F130" s="109"/>
      <c r="G130" s="42">
        <f t="shared" si="2"/>
        <v>0</v>
      </c>
      <c r="H130" s="110"/>
      <c r="I130" s="124"/>
      <c r="J130" s="125"/>
      <c r="K130" s="126"/>
      <c r="L130" s="127"/>
      <c r="M130" s="131"/>
      <c r="N130" s="131"/>
      <c r="O130" s="129"/>
      <c r="P130" s="130"/>
    </row>
    <row r="131" ht="20.4" customHeight="1" spans="1:16">
      <c r="A131" s="106"/>
      <c r="B131" s="106"/>
      <c r="C131" s="107"/>
      <c r="D131" s="108"/>
      <c r="E131" s="108"/>
      <c r="F131" s="109"/>
      <c r="G131" s="42">
        <f t="shared" si="2"/>
        <v>0</v>
      </c>
      <c r="H131" s="110"/>
      <c r="I131" s="124"/>
      <c r="J131" s="125"/>
      <c r="K131" s="126"/>
      <c r="L131" s="127"/>
      <c r="M131" s="131"/>
      <c r="N131" s="131"/>
      <c r="O131" s="129"/>
      <c r="P131" s="130"/>
    </row>
    <row r="132" ht="20.4" customHeight="1" spans="1:16">
      <c r="A132" s="106"/>
      <c r="B132" s="106"/>
      <c r="C132" s="107"/>
      <c r="D132" s="108"/>
      <c r="E132" s="108"/>
      <c r="F132" s="109"/>
      <c r="G132" s="42">
        <f t="shared" si="2"/>
        <v>0</v>
      </c>
      <c r="H132" s="110"/>
      <c r="I132" s="124"/>
      <c r="J132" s="125"/>
      <c r="K132" s="126"/>
      <c r="L132" s="127"/>
      <c r="M132" s="131"/>
      <c r="N132" s="131"/>
      <c r="O132" s="129"/>
      <c r="P132" s="130"/>
    </row>
    <row r="133" ht="20.4" customHeight="1" spans="1:16">
      <c r="A133" s="106"/>
      <c r="B133" s="106"/>
      <c r="C133" s="107"/>
      <c r="D133" s="108"/>
      <c r="E133" s="108"/>
      <c r="F133" s="109"/>
      <c r="G133" s="42">
        <f t="shared" si="2"/>
        <v>0</v>
      </c>
      <c r="H133" s="110"/>
      <c r="I133" s="124"/>
      <c r="J133" s="125"/>
      <c r="K133" s="126"/>
      <c r="L133" s="127"/>
      <c r="M133" s="131"/>
      <c r="N133" s="131"/>
      <c r="O133" s="129"/>
      <c r="P133" s="130"/>
    </row>
    <row r="134" ht="20.4" customHeight="1" spans="1:16">
      <c r="A134" s="106"/>
      <c r="B134" s="106"/>
      <c r="C134" s="107"/>
      <c r="D134" s="108"/>
      <c r="E134" s="108"/>
      <c r="F134" s="109"/>
      <c r="G134" s="42"/>
      <c r="H134" s="110"/>
      <c r="I134" s="124"/>
      <c r="J134" s="125"/>
      <c r="K134" s="126"/>
      <c r="L134" s="127"/>
      <c r="M134" s="131"/>
      <c r="N134" s="131"/>
      <c r="O134" s="129"/>
      <c r="P134" s="130"/>
    </row>
    <row r="135" ht="20.4" customHeight="1" spans="1:16">
      <c r="A135" s="106"/>
      <c r="B135" s="106"/>
      <c r="C135" s="107"/>
      <c r="D135" s="108"/>
      <c r="E135" s="108"/>
      <c r="F135" s="109"/>
      <c r="G135" s="42">
        <f t="shared" ref="G135:G172" si="3">D135*E135</f>
        <v>0</v>
      </c>
      <c r="H135" s="110"/>
      <c r="I135" s="124"/>
      <c r="J135" s="125"/>
      <c r="K135" s="126"/>
      <c r="L135" s="127"/>
      <c r="M135" s="131"/>
      <c r="N135" s="131"/>
      <c r="O135" s="129"/>
      <c r="P135" s="130"/>
    </row>
    <row r="136" ht="20.4" customHeight="1" spans="1:16">
      <c r="A136" s="106"/>
      <c r="B136" s="106"/>
      <c r="C136" s="107"/>
      <c r="D136" s="108"/>
      <c r="E136" s="108"/>
      <c r="F136" s="109"/>
      <c r="G136" s="42">
        <f t="shared" si="3"/>
        <v>0</v>
      </c>
      <c r="H136" s="110"/>
      <c r="I136" s="124"/>
      <c r="J136" s="125"/>
      <c r="K136" s="126"/>
      <c r="L136" s="127"/>
      <c r="M136" s="131"/>
      <c r="N136" s="131"/>
      <c r="O136" s="129"/>
      <c r="P136" s="130"/>
    </row>
    <row r="137" ht="20.4" customHeight="1" spans="1:16">
      <c r="A137" s="106"/>
      <c r="B137" s="106"/>
      <c r="C137" s="107"/>
      <c r="D137" s="108"/>
      <c r="E137" s="108"/>
      <c r="F137" s="109"/>
      <c r="G137" s="42">
        <f t="shared" si="3"/>
        <v>0</v>
      </c>
      <c r="H137" s="110"/>
      <c r="I137" s="124"/>
      <c r="J137" s="125"/>
      <c r="K137" s="126"/>
      <c r="L137" s="127"/>
      <c r="M137" s="131"/>
      <c r="N137" s="131"/>
      <c r="O137" s="129"/>
      <c r="P137" s="130"/>
    </row>
    <row r="138" ht="20.4" customHeight="1" spans="1:16">
      <c r="A138" s="106"/>
      <c r="B138" s="106"/>
      <c r="C138" s="107"/>
      <c r="D138" s="108"/>
      <c r="E138" s="108"/>
      <c r="F138" s="109"/>
      <c r="G138" s="42">
        <f t="shared" si="3"/>
        <v>0</v>
      </c>
      <c r="H138" s="110"/>
      <c r="I138" s="124"/>
      <c r="J138" s="125"/>
      <c r="K138" s="126"/>
      <c r="L138" s="127"/>
      <c r="M138" s="131"/>
      <c r="N138" s="131"/>
      <c r="O138" s="129"/>
      <c r="P138" s="130"/>
    </row>
    <row r="139" ht="20.4" customHeight="1" spans="1:16">
      <c r="A139" s="106"/>
      <c r="B139" s="106"/>
      <c r="C139" s="107"/>
      <c r="D139" s="108"/>
      <c r="E139" s="108"/>
      <c r="F139" s="109"/>
      <c r="G139" s="42">
        <f t="shared" si="3"/>
        <v>0</v>
      </c>
      <c r="H139" s="110"/>
      <c r="I139" s="124"/>
      <c r="J139" s="125"/>
      <c r="K139" s="126"/>
      <c r="L139" s="127"/>
      <c r="M139" s="131"/>
      <c r="N139" s="131"/>
      <c r="O139" s="129"/>
      <c r="P139" s="130"/>
    </row>
    <row r="140" ht="20.4" customHeight="1" spans="1:16">
      <c r="A140" s="106"/>
      <c r="B140" s="106"/>
      <c r="C140" s="107"/>
      <c r="D140" s="108"/>
      <c r="E140" s="108"/>
      <c r="F140" s="109"/>
      <c r="G140" s="42">
        <f t="shared" si="3"/>
        <v>0</v>
      </c>
      <c r="H140" s="110"/>
      <c r="I140" s="124"/>
      <c r="J140" s="125"/>
      <c r="K140" s="126"/>
      <c r="L140" s="127"/>
      <c r="M140" s="131"/>
      <c r="N140" s="131"/>
      <c r="O140" s="129"/>
      <c r="P140" s="130"/>
    </row>
    <row r="141" ht="20.4" customHeight="1" spans="1:16">
      <c r="A141" s="106"/>
      <c r="B141" s="106"/>
      <c r="C141" s="107"/>
      <c r="D141" s="108"/>
      <c r="E141" s="108"/>
      <c r="F141" s="109"/>
      <c r="G141" s="42">
        <f t="shared" si="3"/>
        <v>0</v>
      </c>
      <c r="H141" s="110"/>
      <c r="I141" s="124"/>
      <c r="J141" s="125"/>
      <c r="K141" s="126"/>
      <c r="L141" s="127"/>
      <c r="M141" s="131"/>
      <c r="N141" s="131"/>
      <c r="O141" s="129"/>
      <c r="P141" s="130"/>
    </row>
    <row r="142" ht="20.4" customHeight="1" spans="1:16">
      <c r="A142" s="106"/>
      <c r="B142" s="106"/>
      <c r="C142" s="107"/>
      <c r="D142" s="108"/>
      <c r="E142" s="108"/>
      <c r="F142" s="109"/>
      <c r="G142" s="42">
        <f t="shared" si="3"/>
        <v>0</v>
      </c>
      <c r="H142" s="110"/>
      <c r="I142" s="124"/>
      <c r="J142" s="125"/>
      <c r="K142" s="126"/>
      <c r="L142" s="127"/>
      <c r="M142" s="131"/>
      <c r="N142" s="131"/>
      <c r="O142" s="129"/>
      <c r="P142" s="130"/>
    </row>
    <row r="143" ht="20.4" customHeight="1" spans="1:16">
      <c r="A143" s="106"/>
      <c r="B143" s="106"/>
      <c r="C143" s="107"/>
      <c r="D143" s="108"/>
      <c r="E143" s="108"/>
      <c r="F143" s="109"/>
      <c r="G143" s="42">
        <f t="shared" si="3"/>
        <v>0</v>
      </c>
      <c r="H143" s="110"/>
      <c r="I143" s="124"/>
      <c r="J143" s="125"/>
      <c r="K143" s="126"/>
      <c r="L143" s="127"/>
      <c r="M143" s="131"/>
      <c r="N143" s="131"/>
      <c r="O143" s="129"/>
      <c r="P143" s="130"/>
    </row>
    <row r="144" ht="20.4" customHeight="1" spans="1:16">
      <c r="A144" s="106"/>
      <c r="B144" s="106"/>
      <c r="C144" s="107"/>
      <c r="D144" s="108"/>
      <c r="E144" s="108"/>
      <c r="F144" s="109"/>
      <c r="G144" s="42">
        <f t="shared" si="3"/>
        <v>0</v>
      </c>
      <c r="H144" s="110"/>
      <c r="I144" s="124"/>
      <c r="J144" s="125"/>
      <c r="K144" s="126"/>
      <c r="L144" s="127"/>
      <c r="M144" s="131"/>
      <c r="N144" s="131"/>
      <c r="O144" s="129"/>
      <c r="P144" s="130"/>
    </row>
    <row r="145" ht="20.4" customHeight="1" spans="1:16">
      <c r="A145" s="106"/>
      <c r="B145" s="106"/>
      <c r="C145" s="107"/>
      <c r="D145" s="108"/>
      <c r="E145" s="108"/>
      <c r="F145" s="109"/>
      <c r="G145" s="42">
        <f t="shared" si="3"/>
        <v>0</v>
      </c>
      <c r="H145" s="110"/>
      <c r="I145" s="124"/>
      <c r="J145" s="125"/>
      <c r="K145" s="126"/>
      <c r="L145" s="127"/>
      <c r="M145" s="131"/>
      <c r="N145" s="131"/>
      <c r="O145" s="129"/>
      <c r="P145" s="130"/>
    </row>
    <row r="146" ht="20.4" customHeight="1" spans="1:16">
      <c r="A146" s="106"/>
      <c r="B146" s="106"/>
      <c r="C146" s="107"/>
      <c r="D146" s="108"/>
      <c r="E146" s="108"/>
      <c r="F146" s="109"/>
      <c r="G146" s="42">
        <f t="shared" si="3"/>
        <v>0</v>
      </c>
      <c r="H146" s="110"/>
      <c r="I146" s="124"/>
      <c r="J146" s="125"/>
      <c r="K146" s="126"/>
      <c r="L146" s="127"/>
      <c r="M146" s="131"/>
      <c r="N146" s="131"/>
      <c r="O146" s="129"/>
      <c r="P146" s="130"/>
    </row>
    <row r="147" ht="20.4" customHeight="1" spans="1:16">
      <c r="A147" s="106"/>
      <c r="B147" s="106"/>
      <c r="C147" s="107"/>
      <c r="D147" s="108"/>
      <c r="E147" s="108"/>
      <c r="F147" s="109"/>
      <c r="G147" s="42">
        <f t="shared" si="3"/>
        <v>0</v>
      </c>
      <c r="H147" s="110"/>
      <c r="I147" s="124"/>
      <c r="J147" s="125"/>
      <c r="K147" s="126"/>
      <c r="L147" s="127"/>
      <c r="M147" s="131"/>
      <c r="N147" s="131"/>
      <c r="O147" s="129"/>
      <c r="P147" s="130"/>
    </row>
    <row r="148" ht="20.4" customHeight="1" spans="1:16">
      <c r="A148" s="106"/>
      <c r="B148" s="106"/>
      <c r="C148" s="107"/>
      <c r="D148" s="108"/>
      <c r="E148" s="108"/>
      <c r="F148" s="109"/>
      <c r="G148" s="42">
        <f t="shared" si="3"/>
        <v>0</v>
      </c>
      <c r="H148" s="110"/>
      <c r="I148" s="124"/>
      <c r="J148" s="125"/>
      <c r="K148" s="126"/>
      <c r="L148" s="127"/>
      <c r="M148" s="131"/>
      <c r="N148" s="131"/>
      <c r="O148" s="129"/>
      <c r="P148" s="130"/>
    </row>
    <row r="149" ht="20.4" customHeight="1" spans="1:16">
      <c r="A149" s="106"/>
      <c r="B149" s="106"/>
      <c r="C149" s="107"/>
      <c r="D149" s="108"/>
      <c r="E149" s="108"/>
      <c r="F149" s="109"/>
      <c r="G149" s="42">
        <f t="shared" si="3"/>
        <v>0</v>
      </c>
      <c r="H149" s="110"/>
      <c r="I149" s="124"/>
      <c r="J149" s="125"/>
      <c r="K149" s="126"/>
      <c r="L149" s="127"/>
      <c r="M149" s="131"/>
      <c r="N149" s="131"/>
      <c r="O149" s="129"/>
      <c r="P149" s="130"/>
    </row>
    <row r="150" ht="20.4" customHeight="1" spans="1:16">
      <c r="A150" s="106"/>
      <c r="B150" s="106"/>
      <c r="C150" s="107"/>
      <c r="D150" s="108"/>
      <c r="E150" s="108"/>
      <c r="F150" s="109"/>
      <c r="G150" s="42">
        <f t="shared" si="3"/>
        <v>0</v>
      </c>
      <c r="H150" s="110"/>
      <c r="I150" s="124"/>
      <c r="J150" s="125"/>
      <c r="K150" s="126"/>
      <c r="L150" s="127"/>
      <c r="M150" s="131"/>
      <c r="N150" s="131"/>
      <c r="O150" s="129"/>
      <c r="P150" s="130"/>
    </row>
    <row r="151" ht="20.4" customHeight="1" spans="1:16">
      <c r="A151" s="106"/>
      <c r="B151" s="106"/>
      <c r="C151" s="107"/>
      <c r="D151" s="108"/>
      <c r="E151" s="108"/>
      <c r="F151" s="109"/>
      <c r="G151" s="42">
        <f t="shared" si="3"/>
        <v>0</v>
      </c>
      <c r="H151" s="110"/>
      <c r="I151" s="124"/>
      <c r="J151" s="125"/>
      <c r="K151" s="126"/>
      <c r="L151" s="127"/>
      <c r="M151" s="131"/>
      <c r="N151" s="131"/>
      <c r="O151" s="129"/>
      <c r="P151" s="130"/>
    </row>
    <row r="152" ht="20.4" customHeight="1" spans="1:16">
      <c r="A152" s="106"/>
      <c r="B152" s="106"/>
      <c r="C152" s="107"/>
      <c r="D152" s="108"/>
      <c r="E152" s="108"/>
      <c r="F152" s="109"/>
      <c r="G152" s="42">
        <f t="shared" si="3"/>
        <v>0</v>
      </c>
      <c r="H152" s="110"/>
      <c r="I152" s="124"/>
      <c r="J152" s="125"/>
      <c r="K152" s="126"/>
      <c r="L152" s="127"/>
      <c r="M152" s="131"/>
      <c r="N152" s="131"/>
      <c r="O152" s="129"/>
      <c r="P152" s="130"/>
    </row>
    <row r="153" ht="20.4" customHeight="1" spans="1:16">
      <c r="A153" s="106"/>
      <c r="B153" s="106"/>
      <c r="C153" s="107"/>
      <c r="D153" s="108"/>
      <c r="E153" s="108"/>
      <c r="F153" s="109"/>
      <c r="G153" s="42">
        <f t="shared" si="3"/>
        <v>0</v>
      </c>
      <c r="H153" s="110"/>
      <c r="I153" s="124"/>
      <c r="J153" s="125"/>
      <c r="K153" s="126"/>
      <c r="L153" s="127"/>
      <c r="M153" s="131"/>
      <c r="N153" s="131"/>
      <c r="O153" s="129"/>
      <c r="P153" s="130"/>
    </row>
    <row r="154" ht="20.4" customHeight="1" spans="1:16">
      <c r="A154" s="106"/>
      <c r="B154" s="106"/>
      <c r="C154" s="107"/>
      <c r="D154" s="108"/>
      <c r="E154" s="108"/>
      <c r="F154" s="109"/>
      <c r="G154" s="42">
        <f t="shared" si="3"/>
        <v>0</v>
      </c>
      <c r="H154" s="110"/>
      <c r="I154" s="124"/>
      <c r="J154" s="125"/>
      <c r="K154" s="126"/>
      <c r="L154" s="127"/>
      <c r="M154" s="131"/>
      <c r="N154" s="131"/>
      <c r="O154" s="129"/>
      <c r="P154" s="130"/>
    </row>
    <row r="155" ht="20.4" customHeight="1" spans="1:16">
      <c r="A155" s="106"/>
      <c r="B155" s="106"/>
      <c r="C155" s="107"/>
      <c r="D155" s="108"/>
      <c r="E155" s="108"/>
      <c r="F155" s="109"/>
      <c r="G155" s="42">
        <f t="shared" si="3"/>
        <v>0</v>
      </c>
      <c r="H155" s="110"/>
      <c r="I155" s="124"/>
      <c r="J155" s="125"/>
      <c r="K155" s="126"/>
      <c r="L155" s="127"/>
      <c r="M155" s="131"/>
      <c r="N155" s="131"/>
      <c r="O155" s="129"/>
      <c r="P155" s="130"/>
    </row>
    <row r="156" ht="20.4" customHeight="1" spans="1:16">
      <c r="A156" s="106"/>
      <c r="B156" s="106"/>
      <c r="C156" s="107"/>
      <c r="D156" s="108"/>
      <c r="E156" s="108"/>
      <c r="F156" s="109"/>
      <c r="G156" s="42">
        <f t="shared" si="3"/>
        <v>0</v>
      </c>
      <c r="H156" s="110"/>
      <c r="I156" s="124"/>
      <c r="J156" s="125"/>
      <c r="K156" s="126"/>
      <c r="L156" s="127"/>
      <c r="M156" s="131"/>
      <c r="N156" s="131"/>
      <c r="O156" s="129"/>
      <c r="P156" s="130"/>
    </row>
    <row r="157" ht="20.4" customHeight="1" spans="1:16">
      <c r="A157" s="106"/>
      <c r="B157" s="106"/>
      <c r="C157" s="107"/>
      <c r="D157" s="108"/>
      <c r="E157" s="108"/>
      <c r="F157" s="109"/>
      <c r="G157" s="42">
        <f t="shared" si="3"/>
        <v>0</v>
      </c>
      <c r="H157" s="110"/>
      <c r="I157" s="124"/>
      <c r="J157" s="125"/>
      <c r="K157" s="126"/>
      <c r="L157" s="127"/>
      <c r="M157" s="131"/>
      <c r="N157" s="131"/>
      <c r="O157" s="129"/>
      <c r="P157" s="130"/>
    </row>
    <row r="158" ht="20.4" customHeight="1" spans="1:16">
      <c r="A158" s="106"/>
      <c r="B158" s="106"/>
      <c r="C158" s="107"/>
      <c r="D158" s="108"/>
      <c r="E158" s="108"/>
      <c r="F158" s="109"/>
      <c r="G158" s="42">
        <f t="shared" si="3"/>
        <v>0</v>
      </c>
      <c r="H158" s="110"/>
      <c r="I158" s="124"/>
      <c r="J158" s="125"/>
      <c r="K158" s="126"/>
      <c r="L158" s="127"/>
      <c r="M158" s="131"/>
      <c r="N158" s="131"/>
      <c r="O158" s="129"/>
      <c r="P158" s="130"/>
    </row>
    <row r="159" ht="20.4" customHeight="1" spans="1:16">
      <c r="A159" s="106"/>
      <c r="B159" s="106"/>
      <c r="C159" s="107"/>
      <c r="D159" s="108"/>
      <c r="E159" s="108"/>
      <c r="F159" s="109"/>
      <c r="G159" s="42">
        <f t="shared" si="3"/>
        <v>0</v>
      </c>
      <c r="H159" s="110"/>
      <c r="I159" s="124"/>
      <c r="J159" s="125"/>
      <c r="K159" s="126"/>
      <c r="L159" s="127"/>
      <c r="M159" s="131"/>
      <c r="N159" s="131"/>
      <c r="O159" s="129"/>
      <c r="P159" s="130"/>
    </row>
    <row r="160" ht="20.4" customHeight="1" spans="1:16">
      <c r="A160" s="106"/>
      <c r="B160" s="106"/>
      <c r="C160" s="107"/>
      <c r="D160" s="108"/>
      <c r="E160" s="108"/>
      <c r="F160" s="109"/>
      <c r="G160" s="42">
        <f t="shared" si="3"/>
        <v>0</v>
      </c>
      <c r="H160" s="110"/>
      <c r="I160" s="124"/>
      <c r="J160" s="125"/>
      <c r="K160" s="126"/>
      <c r="L160" s="127"/>
      <c r="M160" s="131"/>
      <c r="N160" s="131"/>
      <c r="O160" s="129"/>
      <c r="P160" s="130"/>
    </row>
    <row r="161" ht="20.4" customHeight="1" spans="1:16">
      <c r="A161" s="106"/>
      <c r="B161" s="106"/>
      <c r="C161" s="107"/>
      <c r="D161" s="108"/>
      <c r="E161" s="108"/>
      <c r="F161" s="109"/>
      <c r="G161" s="42">
        <f t="shared" si="3"/>
        <v>0</v>
      </c>
      <c r="H161" s="110"/>
      <c r="I161" s="124"/>
      <c r="J161" s="125"/>
      <c r="K161" s="126"/>
      <c r="L161" s="127"/>
      <c r="M161" s="131"/>
      <c r="N161" s="131"/>
      <c r="O161" s="129"/>
      <c r="P161" s="130"/>
    </row>
    <row r="162" ht="20.4" customHeight="1" spans="1:16">
      <c r="A162" s="106"/>
      <c r="B162" s="106"/>
      <c r="C162" s="107"/>
      <c r="D162" s="108"/>
      <c r="E162" s="108"/>
      <c r="F162" s="109"/>
      <c r="G162" s="42">
        <f t="shared" si="3"/>
        <v>0</v>
      </c>
      <c r="H162" s="110"/>
      <c r="I162" s="124"/>
      <c r="J162" s="125"/>
      <c r="K162" s="126"/>
      <c r="L162" s="127"/>
      <c r="M162" s="131"/>
      <c r="N162" s="131"/>
      <c r="O162" s="129"/>
      <c r="P162" s="130"/>
    </row>
    <row r="163" ht="20.4" customHeight="1" spans="1:16">
      <c r="A163" s="106"/>
      <c r="B163" s="106"/>
      <c r="C163" s="107"/>
      <c r="D163" s="108"/>
      <c r="E163" s="108"/>
      <c r="F163" s="109"/>
      <c r="G163" s="42">
        <f t="shared" si="3"/>
        <v>0</v>
      </c>
      <c r="H163" s="110"/>
      <c r="I163" s="124"/>
      <c r="J163" s="125"/>
      <c r="K163" s="126"/>
      <c r="L163" s="127"/>
      <c r="M163" s="131"/>
      <c r="N163" s="131"/>
      <c r="O163" s="129"/>
      <c r="P163" s="130"/>
    </row>
    <row r="164" ht="20.4" customHeight="1" spans="1:16">
      <c r="A164" s="106"/>
      <c r="B164" s="106"/>
      <c r="C164" s="107"/>
      <c r="D164" s="108"/>
      <c r="E164" s="108"/>
      <c r="F164" s="109"/>
      <c r="G164" s="42">
        <f t="shared" si="3"/>
        <v>0</v>
      </c>
      <c r="H164" s="110"/>
      <c r="I164" s="124"/>
      <c r="J164" s="125"/>
      <c r="K164" s="126"/>
      <c r="L164" s="127"/>
      <c r="M164" s="131"/>
      <c r="N164" s="131"/>
      <c r="O164" s="129"/>
      <c r="P164" s="130"/>
    </row>
    <row r="165" ht="20.4" customHeight="1" spans="1:16">
      <c r="A165" s="106"/>
      <c r="B165" s="106"/>
      <c r="C165" s="107"/>
      <c r="D165" s="108"/>
      <c r="E165" s="108"/>
      <c r="F165" s="109"/>
      <c r="G165" s="42">
        <f t="shared" si="3"/>
        <v>0</v>
      </c>
      <c r="H165" s="110"/>
      <c r="I165" s="124"/>
      <c r="J165" s="125"/>
      <c r="K165" s="126"/>
      <c r="L165" s="127"/>
      <c r="M165" s="131"/>
      <c r="N165" s="131"/>
      <c r="O165" s="129"/>
      <c r="P165" s="130"/>
    </row>
    <row r="166" ht="20.4" customHeight="1" spans="1:16">
      <c r="A166" s="106"/>
      <c r="B166" s="106"/>
      <c r="C166" s="107"/>
      <c r="D166" s="108"/>
      <c r="E166" s="108"/>
      <c r="F166" s="109"/>
      <c r="G166" s="42">
        <f t="shared" si="3"/>
        <v>0</v>
      </c>
      <c r="H166" s="110"/>
      <c r="I166" s="124"/>
      <c r="J166" s="125"/>
      <c r="K166" s="126"/>
      <c r="L166" s="127"/>
      <c r="M166" s="131"/>
      <c r="N166" s="131"/>
      <c r="O166" s="129"/>
      <c r="P166" s="130"/>
    </row>
    <row r="167" ht="20.4" customHeight="1" spans="1:16">
      <c r="A167" s="106"/>
      <c r="B167" s="106"/>
      <c r="C167" s="107"/>
      <c r="D167" s="108"/>
      <c r="E167" s="108"/>
      <c r="F167" s="109"/>
      <c r="G167" s="42">
        <f t="shared" si="3"/>
        <v>0</v>
      </c>
      <c r="H167" s="110"/>
      <c r="I167" s="124"/>
      <c r="J167" s="125"/>
      <c r="K167" s="126"/>
      <c r="L167" s="127"/>
      <c r="M167" s="131"/>
      <c r="N167" s="131"/>
      <c r="O167" s="129"/>
      <c r="P167" s="130"/>
    </row>
    <row r="168" ht="20.4" customHeight="1" spans="1:16">
      <c r="A168" s="106"/>
      <c r="B168" s="106"/>
      <c r="C168" s="107"/>
      <c r="D168" s="108"/>
      <c r="E168" s="108"/>
      <c r="F168" s="109"/>
      <c r="G168" s="42">
        <f t="shared" si="3"/>
        <v>0</v>
      </c>
      <c r="H168" s="110"/>
      <c r="I168" s="124"/>
      <c r="J168" s="125"/>
      <c r="K168" s="126"/>
      <c r="L168" s="127"/>
      <c r="M168" s="131"/>
      <c r="N168" s="131"/>
      <c r="O168" s="129"/>
      <c r="P168" s="130"/>
    </row>
    <row r="169" ht="20.4" customHeight="1" spans="1:16">
      <c r="A169" s="106"/>
      <c r="B169" s="106"/>
      <c r="C169" s="107"/>
      <c r="D169" s="108"/>
      <c r="E169" s="108"/>
      <c r="F169" s="109"/>
      <c r="G169" s="42">
        <f t="shared" si="3"/>
        <v>0</v>
      </c>
      <c r="H169" s="110"/>
      <c r="I169" s="124"/>
      <c r="J169" s="125"/>
      <c r="K169" s="126"/>
      <c r="L169" s="127"/>
      <c r="M169" s="131"/>
      <c r="N169" s="131"/>
      <c r="O169" s="129"/>
      <c r="P169" s="130"/>
    </row>
    <row r="170" ht="20.4" customHeight="1" spans="1:16">
      <c r="A170" s="106"/>
      <c r="B170" s="106"/>
      <c r="C170" s="107"/>
      <c r="D170" s="108"/>
      <c r="E170" s="108"/>
      <c r="F170" s="109"/>
      <c r="G170" s="42">
        <f t="shared" si="3"/>
        <v>0</v>
      </c>
      <c r="H170" s="110"/>
      <c r="I170" s="124"/>
      <c r="J170" s="125"/>
      <c r="K170" s="126"/>
      <c r="L170" s="127"/>
      <c r="M170" s="131"/>
      <c r="N170" s="131"/>
      <c r="O170" s="129"/>
      <c r="P170" s="130"/>
    </row>
    <row r="171" ht="20.4" customHeight="1" spans="1:16">
      <c r="A171" s="106"/>
      <c r="B171" s="106"/>
      <c r="C171" s="107"/>
      <c r="D171" s="108"/>
      <c r="E171" s="108"/>
      <c r="F171" s="109"/>
      <c r="G171" s="42">
        <f t="shared" si="3"/>
        <v>0</v>
      </c>
      <c r="H171" s="110"/>
      <c r="I171" s="124"/>
      <c r="J171" s="125"/>
      <c r="K171" s="126"/>
      <c r="L171" s="127"/>
      <c r="M171" s="131"/>
      <c r="N171" s="131"/>
      <c r="O171" s="129"/>
      <c r="P171" s="130"/>
    </row>
    <row r="172" ht="20.4" customHeight="1" spans="1:16">
      <c r="A172" s="106"/>
      <c r="B172" s="106"/>
      <c r="C172" s="107"/>
      <c r="D172" s="108"/>
      <c r="E172" s="108"/>
      <c r="F172" s="109"/>
      <c r="G172" s="42">
        <f t="shared" si="3"/>
        <v>0</v>
      </c>
      <c r="H172" s="110"/>
      <c r="I172" s="124"/>
      <c r="J172" s="125"/>
      <c r="K172" s="126"/>
      <c r="L172" s="127"/>
      <c r="M172" s="131"/>
      <c r="N172" s="131"/>
      <c r="O172" s="129"/>
      <c r="P172" s="130"/>
    </row>
    <row r="173" ht="20.4" customHeight="1" spans="1:16">
      <c r="A173" s="106"/>
      <c r="B173" s="106"/>
      <c r="C173" s="107"/>
      <c r="D173" s="108"/>
      <c r="E173" s="108"/>
      <c r="F173" s="109"/>
      <c r="G173" s="42">
        <f t="shared" ref="G173" si="4">D173*E173</f>
        <v>0</v>
      </c>
      <c r="H173" s="110"/>
      <c r="I173" s="124"/>
      <c r="J173" s="125"/>
      <c r="K173" s="126"/>
      <c r="L173" s="127"/>
      <c r="M173" s="131"/>
      <c r="N173" s="131"/>
      <c r="O173" s="129"/>
      <c r="P173" s="130"/>
    </row>
    <row r="174" ht="20.4" customHeight="1" spans="1:16">
      <c r="A174" s="106"/>
      <c r="B174" s="106"/>
      <c r="C174" s="107"/>
      <c r="D174" s="108"/>
      <c r="E174" s="108"/>
      <c r="F174" s="109"/>
      <c r="G174" s="42">
        <f t="shared" ref="G174:G176" si="5">D174*E174</f>
        <v>0</v>
      </c>
      <c r="H174" s="110"/>
      <c r="I174" s="124"/>
      <c r="J174" s="125"/>
      <c r="K174" s="126"/>
      <c r="L174" s="127"/>
      <c r="M174" s="128"/>
      <c r="N174" s="128"/>
      <c r="O174" s="129"/>
      <c r="P174" s="130"/>
    </row>
    <row r="175" ht="20.4" customHeight="1" spans="1:16">
      <c r="A175" s="106"/>
      <c r="B175" s="106"/>
      <c r="C175" s="107"/>
      <c r="D175" s="108"/>
      <c r="E175" s="108"/>
      <c r="F175" s="109"/>
      <c r="G175" s="42">
        <f t="shared" si="5"/>
        <v>0</v>
      </c>
      <c r="H175" s="110"/>
      <c r="I175" s="124"/>
      <c r="J175" s="125"/>
      <c r="K175" s="126"/>
      <c r="L175" s="127"/>
      <c r="M175" s="128"/>
      <c r="N175" s="128"/>
      <c r="O175" s="129"/>
      <c r="P175" s="130"/>
    </row>
    <row r="176" ht="20.4" customHeight="1" spans="1:16">
      <c r="A176" s="106"/>
      <c r="B176" s="106"/>
      <c r="C176" s="107"/>
      <c r="D176" s="108"/>
      <c r="E176" s="108"/>
      <c r="F176" s="109"/>
      <c r="G176" s="42">
        <f t="shared" si="5"/>
        <v>0</v>
      </c>
      <c r="H176" s="110"/>
      <c r="I176" s="124"/>
      <c r="J176" s="125"/>
      <c r="K176" s="126"/>
      <c r="L176" s="127"/>
      <c r="M176" s="128"/>
      <c r="N176" s="128"/>
      <c r="O176" s="129"/>
      <c r="P176" s="130"/>
    </row>
    <row r="177" ht="20.4" customHeight="1" spans="1:16">
      <c r="A177" s="106"/>
      <c r="B177" s="106"/>
      <c r="C177" s="107"/>
      <c r="D177" s="108"/>
      <c r="E177" s="108"/>
      <c r="F177" s="109"/>
      <c r="G177" s="42">
        <f t="shared" ref="G177:G178" si="6">D177*E177</f>
        <v>0</v>
      </c>
      <c r="H177" s="110"/>
      <c r="I177" s="124"/>
      <c r="J177" s="125"/>
      <c r="K177" s="126"/>
      <c r="L177" s="127"/>
      <c r="M177" s="128"/>
      <c r="N177" s="128"/>
      <c r="O177" s="129"/>
      <c r="P177" s="130"/>
    </row>
    <row r="178" ht="20.4" customHeight="1" spans="1:16">
      <c r="A178" s="106"/>
      <c r="B178" s="106"/>
      <c r="C178" s="107"/>
      <c r="D178" s="108"/>
      <c r="E178" s="108"/>
      <c r="F178" s="109"/>
      <c r="G178" s="42">
        <f t="shared" si="6"/>
        <v>0</v>
      </c>
      <c r="H178" s="110"/>
      <c r="I178" s="124"/>
      <c r="J178" s="125"/>
      <c r="K178" s="126"/>
      <c r="L178" s="127"/>
      <c r="M178" s="128"/>
      <c r="N178" s="128"/>
      <c r="O178" s="129"/>
      <c r="P178" s="130"/>
    </row>
    <row r="179" ht="20.4" customHeight="1" spans="1:16">
      <c r="A179" s="132" t="s">
        <v>57</v>
      </c>
      <c r="B179" s="42"/>
      <c r="C179" s="107"/>
      <c r="D179" s="108"/>
      <c r="E179" s="108"/>
      <c r="F179" s="109"/>
      <c r="G179" s="133">
        <f>SUMIF(K7:K178,"07-JAN",G7:G178)</f>
        <v>1831</v>
      </c>
      <c r="H179" s="110"/>
      <c r="I179" s="136"/>
      <c r="J179" s="125"/>
      <c r="K179" s="137"/>
      <c r="L179" s="127"/>
      <c r="M179" s="138"/>
      <c r="N179" s="138"/>
      <c r="O179" s="129"/>
      <c r="P179" s="130"/>
    </row>
    <row r="180" ht="20.4" customHeight="1"/>
    <row r="181" ht="20.4" customHeight="1"/>
    <row r="182" ht="20.4" customHeight="1" spans="3:8">
      <c r="C182" s="12" t="s">
        <v>318</v>
      </c>
      <c r="D182" s="24">
        <f>COUNTIF(C80:C178,"EXCESS BAGGAGE")</f>
        <v>9</v>
      </c>
      <c r="E182" s="24">
        <f>SUMIF(C80:C178,"EXCESS BAGGAGE",G80:G178)</f>
        <v>2485</v>
      </c>
      <c r="F182" s="98" t="s">
        <v>293</v>
      </c>
      <c r="G182" s="14">
        <f>SUMIF(I80:I178,"ALIPAY",G80:G178)</f>
        <v>0</v>
      </c>
      <c r="H182" s="99"/>
    </row>
    <row r="183" ht="20.4" customHeight="1" spans="3:10">
      <c r="C183" s="12" t="s">
        <v>319</v>
      </c>
      <c r="D183" s="24">
        <f>COUNTIF(C80:C178,"SEAT RESERVED SERVICE FEE")</f>
        <v>6</v>
      </c>
      <c r="E183" s="24">
        <f>D183*177</f>
        <v>1062</v>
      </c>
      <c r="F183" s="98" t="s">
        <v>290</v>
      </c>
      <c r="G183" s="14">
        <f>SUMIF(I80:I178,"WECHAT",G80:G178)</f>
        <v>0</v>
      </c>
      <c r="H183" s="99"/>
      <c r="J183" s="14"/>
    </row>
    <row r="184" ht="20.4" customHeight="1" spans="3:8">
      <c r="C184" s="12" t="s">
        <v>134</v>
      </c>
      <c r="D184" s="24">
        <f>COUNTIF(C80:C178,"UPGRADE")</f>
        <v>0</v>
      </c>
      <c r="E184" s="24">
        <f>SUMIF(C80:C178,"UPGRADE",G80:G178)</f>
        <v>0</v>
      </c>
      <c r="F184" s="98" t="s">
        <v>320</v>
      </c>
      <c r="G184" s="14"/>
      <c r="H184" s="14">
        <f>SUM(G182:G183)</f>
        <v>0</v>
      </c>
    </row>
    <row r="185" ht="20.4" customHeight="1" spans="4:8">
      <c r="D185" s="24">
        <f>SUM(D182:D184)</f>
        <v>15</v>
      </c>
      <c r="E185" s="24">
        <f>SUM(E182:E184)</f>
        <v>3547</v>
      </c>
      <c r="F185" s="98"/>
      <c r="G185" s="14"/>
      <c r="H185" s="99"/>
    </row>
    <row r="186" ht="20.4" customHeight="1" spans="6:8">
      <c r="F186" s="98" t="s">
        <v>48</v>
      </c>
      <c r="G186" s="14">
        <f>SUMIF(I80:I178,"VISA",G80:G178)</f>
        <v>1975</v>
      </c>
      <c r="H186" s="99"/>
    </row>
    <row r="187" ht="20.4" customHeight="1" spans="6:8">
      <c r="F187" s="98" t="s">
        <v>82</v>
      </c>
      <c r="G187" s="14">
        <f>SUMIF(I80:I178,"MASTERCARD",G80:G178)</f>
        <v>729</v>
      </c>
      <c r="H187" s="99"/>
    </row>
    <row r="188" ht="20.4" customHeight="1" spans="6:10">
      <c r="F188" s="98" t="s">
        <v>151</v>
      </c>
      <c r="G188" s="14">
        <f ca="1">SUMIF(I80:I190,"DEBIT",G80:G178)</f>
        <v>847</v>
      </c>
      <c r="H188" s="99"/>
      <c r="J188" s="14"/>
    </row>
    <row r="189" ht="20.4" customHeight="1" spans="6:10">
      <c r="F189" s="98" t="s">
        <v>320</v>
      </c>
      <c r="G189" s="14"/>
      <c r="H189" s="14">
        <f ca="1">SUM(G186:G188)</f>
        <v>3551</v>
      </c>
      <c r="J189" s="139"/>
    </row>
    <row r="190" ht="20.4" customHeight="1" spans="6:8">
      <c r="F190" s="98"/>
      <c r="G190" s="14"/>
      <c r="H190" s="134">
        <f ca="1">SUM(H184:H189)</f>
        <v>3551</v>
      </c>
    </row>
    <row r="191" ht="20.4" customHeight="1" spans="6:8">
      <c r="F191" s="98"/>
      <c r="G191" s="134"/>
      <c r="H191" s="135"/>
    </row>
    <row r="192" ht="20.4" customHeight="1" spans="6:8">
      <c r="F192" s="98" t="s">
        <v>57</v>
      </c>
      <c r="G192" s="14"/>
      <c r="H192" s="135">
        <f ca="1">SUM(H190:H191)</f>
        <v>3551</v>
      </c>
    </row>
    <row r="193" ht="20.4" customHeight="1"/>
    <row r="194" ht="20.4" customHeight="1"/>
    <row r="195" ht="20.4" customHeight="1"/>
    <row r="196" ht="20.4" customHeight="1"/>
    <row r="197" ht="20.4" customHeight="1"/>
    <row r="198" ht="20.4" customHeight="1"/>
    <row r="199" ht="20.4" customHeight="1"/>
    <row r="200" ht="20.4" customHeight="1"/>
    <row r="201" ht="20.4" customHeight="1"/>
    <row r="202" ht="20.4" customHeight="1"/>
    <row r="203" ht="20.4" customHeight="1"/>
    <row r="204" ht="20.4" customHeight="1"/>
    <row r="205" ht="20.4" customHeight="1"/>
    <row r="206" ht="20.4" customHeight="1"/>
    <row r="207" ht="20.4" customHeight="1"/>
    <row r="208" ht="20.4" customHeight="1"/>
    <row r="209" ht="20.4" customHeight="1"/>
    <row r="210" ht="20.4" customHeight="1"/>
    <row r="211" ht="20.4" customHeight="1"/>
    <row r="212" ht="20.4" customHeight="1"/>
    <row r="213" ht="20.4" customHeight="1"/>
    <row r="214" ht="20.4" customHeight="1"/>
    <row r="215" ht="20.4" customHeight="1"/>
    <row r="216" ht="20.4" customHeight="1"/>
    <row r="217" ht="20.4" customHeight="1"/>
    <row r="218" ht="20.4" customHeight="1"/>
    <row r="219" ht="20.4" customHeight="1"/>
    <row r="220" ht="20.4" customHeight="1"/>
    <row r="221" ht="20.4" customHeight="1"/>
    <row r="222" ht="20.4" customHeight="1"/>
    <row r="223" ht="20.4" customHeight="1"/>
    <row r="224" ht="20.4" customHeight="1"/>
    <row r="225" ht="20.4" customHeight="1"/>
    <row r="226" ht="20.4" customHeight="1"/>
    <row r="227" ht="20.4" customHeight="1"/>
    <row r="228" ht="20.4" customHeight="1"/>
    <row r="229" ht="20.4" customHeight="1"/>
    <row r="230" ht="20.4" customHeight="1"/>
    <row r="231" ht="20.4" customHeight="1"/>
    <row r="232" ht="20.4" customHeight="1"/>
    <row r="233" ht="20.4" customHeight="1"/>
    <row r="234" ht="20.4" customHeight="1"/>
    <row r="235" ht="20.4" customHeight="1"/>
    <row r="236" ht="20.4" customHeight="1"/>
    <row r="237" ht="20.4" customHeight="1"/>
    <row r="238" ht="20.4" customHeight="1"/>
    <row r="239" ht="20.4" customHeight="1"/>
    <row r="240" ht="20.4" customHeight="1"/>
    <row r="241" ht="20.4" customHeight="1"/>
    <row r="242" ht="20.4" customHeight="1"/>
    <row r="243" ht="20.4" customHeight="1"/>
    <row r="244" ht="20.4" customHeight="1"/>
    <row r="245" ht="20.4" customHeight="1"/>
    <row r="246" ht="20.4" customHeight="1"/>
    <row r="247" ht="20.4" customHeight="1"/>
    <row r="248" ht="20.4" customHeight="1"/>
    <row r="249" ht="20.4" customHeight="1"/>
    <row r="250" ht="20.4" customHeight="1"/>
    <row r="251" ht="20.4" customHeight="1"/>
    <row r="252" ht="20.4" customHeight="1"/>
    <row r="253" ht="20.4" customHeight="1"/>
    <row r="254" ht="20.4" customHeight="1"/>
    <row r="255" ht="20.4" customHeight="1"/>
    <row r="256" ht="20.4" customHeight="1"/>
    <row r="257" ht="20.4" customHeight="1"/>
    <row r="258" ht="20.4" customHeight="1"/>
    <row r="259" ht="20.4" customHeight="1"/>
    <row r="260" ht="20.4" customHeight="1"/>
    <row r="261" ht="20.4" customHeight="1"/>
    <row r="262" ht="20.4" customHeight="1"/>
    <row r="263" ht="20.4" customHeight="1"/>
    <row r="264" ht="20.4" customHeight="1"/>
    <row r="265" ht="20.4" customHeight="1"/>
    <row r="266" ht="20.4" customHeight="1"/>
    <row r="267" ht="20.4" customHeight="1"/>
    <row r="268" ht="20.4" customHeight="1"/>
    <row r="269" ht="20.4" customHeight="1"/>
    <row r="270" ht="20.4" customHeight="1"/>
    <row r="271" ht="20.4" customHeight="1"/>
    <row r="272" ht="20.4" customHeight="1"/>
    <row r="273" ht="20.4" customHeight="1"/>
    <row r="274" ht="20.4" customHeight="1"/>
    <row r="275" ht="20.4" customHeight="1"/>
    <row r="276" ht="20.4" customHeight="1"/>
    <row r="277" ht="20.4" customHeight="1"/>
    <row r="278" ht="20.4" customHeight="1"/>
    <row r="279" ht="20.4" customHeight="1"/>
    <row r="280" ht="20.4" customHeight="1"/>
    <row r="281" ht="20.4" customHeight="1"/>
    <row r="282" ht="20.4" customHeight="1"/>
    <row r="283" ht="20.4" customHeight="1"/>
    <row r="284" ht="20.4" customHeight="1"/>
    <row r="285" ht="20.4" customHeight="1"/>
    <row r="286" ht="20.4" customHeight="1"/>
    <row r="287" ht="20.4" customHeight="1"/>
    <row r="288" ht="20.4" customHeight="1"/>
    <row r="289" ht="20.4" customHeight="1"/>
    <row r="290" ht="20.4" customHeight="1"/>
    <row r="291" ht="20.4" customHeight="1"/>
    <row r="292" ht="20.4" customHeight="1"/>
    <row r="293" ht="20.4" customHeight="1"/>
    <row r="294" ht="20.4" customHeight="1"/>
    <row r="295" ht="20.4" customHeight="1"/>
    <row r="296" ht="20.4" customHeight="1"/>
    <row r="297" ht="20.4" customHeight="1"/>
    <row r="298" ht="20.4" customHeight="1"/>
    <row r="299" ht="20.4" customHeight="1"/>
    <row r="300" ht="20.4" customHeight="1"/>
    <row r="301" ht="20.4" customHeight="1"/>
    <row r="302" ht="20.4" customHeight="1"/>
    <row r="303" ht="20.4" customHeight="1"/>
    <row r="304" ht="20.4" customHeight="1"/>
    <row r="305" ht="20.4" customHeight="1"/>
    <row r="306" ht="20.4" customHeight="1"/>
    <row r="307" ht="20.4" customHeight="1"/>
    <row r="308" ht="20.4" customHeight="1"/>
    <row r="309" ht="20.4" customHeight="1"/>
    <row r="310" ht="20.4" customHeight="1"/>
    <row r="311" ht="20.4" customHeight="1"/>
    <row r="312" ht="20.4" customHeight="1"/>
    <row r="313" ht="20.4" customHeight="1"/>
    <row r="314" ht="20.4" customHeight="1"/>
    <row r="315" ht="20.4" customHeight="1"/>
    <row r="316" ht="20.4" customHeight="1"/>
    <row r="317" ht="20.4" customHeight="1"/>
    <row r="318" ht="20.4" customHeight="1"/>
    <row r="319" ht="20.4" customHeight="1"/>
    <row r="320" ht="20.4" customHeight="1"/>
    <row r="321" ht="20.4" customHeight="1"/>
    <row r="322" ht="20.4" customHeight="1"/>
    <row r="323" ht="20.4" customHeight="1"/>
    <row r="324" ht="20.4" customHeight="1"/>
    <row r="325" ht="20.4" customHeight="1"/>
    <row r="326" ht="20.4" customHeight="1"/>
    <row r="327" ht="20.4" customHeight="1"/>
    <row r="328" ht="20.4" customHeight="1"/>
    <row r="329" ht="20.4" customHeight="1"/>
    <row r="330" ht="20.4" customHeight="1"/>
    <row r="331" ht="20.4" customHeight="1"/>
    <row r="332" ht="20.4" customHeight="1"/>
    <row r="333" ht="20.4" customHeight="1"/>
    <row r="334" ht="20.4" customHeight="1"/>
    <row r="335" ht="20.4" customHeight="1"/>
    <row r="336" ht="20.4" customHeight="1"/>
    <row r="337" ht="20.4" customHeight="1"/>
    <row r="338" ht="20.4" customHeight="1"/>
    <row r="339" ht="20.4" customHeight="1"/>
    <row r="340" ht="20.4" customHeight="1"/>
    <row r="341" ht="20.4" customHeight="1"/>
    <row r="342" ht="20.4" customHeight="1"/>
    <row r="343" ht="20.4" customHeight="1"/>
    <row r="344" ht="20.4" customHeight="1"/>
    <row r="345" ht="20.4" customHeight="1"/>
    <row r="346" ht="20.4" customHeight="1"/>
    <row r="347" ht="20.4" customHeight="1"/>
    <row r="348" ht="20.4" customHeight="1"/>
    <row r="349" ht="20.4" customHeight="1"/>
    <row r="350" ht="20.4" customHeight="1"/>
    <row r="351" ht="20.4" customHeight="1"/>
    <row r="352" ht="20.4" customHeight="1"/>
    <row r="353" ht="20.4" customHeight="1"/>
    <row r="354" ht="20.4" customHeight="1"/>
    <row r="355" ht="20.4" customHeight="1"/>
    <row r="356" ht="20.4" customHeight="1"/>
    <row r="357" ht="20.4" customHeight="1"/>
    <row r="358" ht="20.4" customHeight="1"/>
    <row r="359" ht="20.4" customHeight="1"/>
    <row r="360" ht="20.4" customHeight="1"/>
    <row r="361" ht="20.4" customHeight="1"/>
    <row r="362" ht="20.4" customHeight="1"/>
    <row r="363" ht="20.4" customHeight="1"/>
    <row r="364" ht="20.4" customHeight="1"/>
    <row r="365" ht="20.4" customHeight="1"/>
    <row r="366" ht="20.4" customHeight="1"/>
    <row r="367" ht="20.4" customHeight="1"/>
    <row r="368" ht="20.4" customHeight="1"/>
    <row r="369" ht="20.4" customHeight="1"/>
    <row r="370" ht="20.4" customHeight="1"/>
    <row r="371" ht="20.4" customHeight="1"/>
    <row r="372" ht="20.4" customHeight="1"/>
    <row r="373" ht="20.4" customHeight="1"/>
    <row r="374" ht="20.4" customHeight="1"/>
    <row r="375" ht="20.4" customHeight="1"/>
    <row r="376" ht="20.4" customHeight="1"/>
    <row r="377" ht="20.4" customHeight="1"/>
    <row r="378" ht="20.4" customHeight="1"/>
    <row r="379" ht="20.4" customHeight="1"/>
    <row r="380" ht="20.4" customHeight="1"/>
    <row r="381" ht="20.4" customHeight="1"/>
    <row r="382" ht="20.4" customHeight="1"/>
    <row r="383" ht="20.4" customHeight="1"/>
    <row r="384" ht="20.4" customHeight="1"/>
    <row r="385" ht="20.4" customHeight="1"/>
    <row r="386" ht="20.4" customHeight="1"/>
    <row r="387" ht="20.4" customHeight="1"/>
    <row r="388" ht="20.4" customHeight="1"/>
    <row r="389" ht="20.4" customHeight="1"/>
    <row r="390" ht="20.4" customHeight="1"/>
    <row r="391" ht="20.4" customHeight="1"/>
    <row r="392" ht="20.4" customHeight="1"/>
    <row r="393" ht="20.4" customHeight="1"/>
    <row r="394" ht="20.4" customHeight="1"/>
    <row r="395" ht="20.4" customHeight="1"/>
    <row r="396" ht="20.4" customHeight="1"/>
    <row r="397" ht="20.4" customHeight="1"/>
    <row r="398" ht="20.4" customHeight="1"/>
    <row r="399" ht="20.4" customHeight="1"/>
    <row r="400" ht="20.4" customHeight="1"/>
    <row r="401" ht="20.4" customHeight="1"/>
    <row r="402" ht="20.4" customHeight="1"/>
    <row r="403" ht="20.4" customHeight="1"/>
    <row r="404" ht="20.4" customHeight="1"/>
    <row r="405" ht="20.4" customHeight="1"/>
    <row r="406" ht="20.4" customHeight="1"/>
    <row r="407" ht="20.4" customHeight="1"/>
    <row r="408" ht="20.4" customHeight="1"/>
    <row r="409" ht="20.4" customHeight="1"/>
    <row r="410" ht="20.4" customHeight="1"/>
    <row r="411" ht="20.4" customHeight="1"/>
    <row r="412" ht="20.4" customHeight="1"/>
    <row r="413" ht="20.4" customHeight="1"/>
    <row r="414" ht="20.4" customHeight="1"/>
    <row r="415" ht="20.4" customHeight="1"/>
    <row r="416" ht="20.4" customHeight="1"/>
    <row r="417" ht="20.4" customHeight="1"/>
    <row r="418" ht="20.4" customHeight="1"/>
    <row r="419" ht="20.4" customHeight="1"/>
    <row r="420" ht="20.4" customHeight="1"/>
    <row r="421" ht="20.4" customHeight="1"/>
    <row r="422" ht="20.4" customHeight="1"/>
    <row r="423" ht="20.4" customHeight="1"/>
    <row r="424" ht="20.4" customHeight="1"/>
    <row r="425" ht="20.4" customHeight="1"/>
    <row r="426" ht="20.4" customHeight="1"/>
    <row r="427" ht="20.4" customHeight="1"/>
    <row r="428" ht="20.4" customHeight="1"/>
    <row r="429" ht="20.4" customHeight="1"/>
    <row r="430" ht="20.4" customHeight="1"/>
    <row r="431" ht="20.4" customHeight="1"/>
    <row r="432" ht="20.4" customHeight="1"/>
    <row r="433" ht="20.4" customHeight="1"/>
    <row r="434" ht="20.4" customHeight="1"/>
    <row r="435" ht="20.4" customHeight="1"/>
    <row r="436" ht="20.4" customHeight="1"/>
    <row r="437" ht="20.4" customHeight="1"/>
    <row r="438" ht="20.4" customHeight="1"/>
    <row r="439" ht="20.4" customHeight="1"/>
    <row r="440" ht="20.4" customHeight="1"/>
    <row r="441" ht="20.1" customHeight="1"/>
  </sheetData>
  <mergeCells count="16">
    <mergeCell ref="A1:H1"/>
    <mergeCell ref="O3:P3"/>
    <mergeCell ref="O4:P4"/>
    <mergeCell ref="M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dataValidations count="2">
    <dataValidation type="list" allowBlank="1" showInputMessage="1" showErrorMessage="1" sqref="C7:C179 IY7:IY441 SU7:SU441 ACQ7:ACQ441 AMM7:AMM441 AWI7:AWI441 BGE7:BGE441 BQA7:BQA441 BZW7:BZW441 CJS7:CJS441 CTO7:CTO441 DDK7:DDK441 DNG7:DNG441 DXC7:DXC441 EGY7:EGY441 EQU7:EQU441 FAQ7:FAQ441 FKM7:FKM441 FUI7:FUI441 GEE7:GEE441 GOA7:GOA441 GXW7:GXW441 HHS7:HHS441 HRO7:HRO441 IBK7:IBK441 ILG7:ILG441 IVC7:IVC441 JEY7:JEY441 JOU7:JOU441 JYQ7:JYQ441 KIM7:KIM441 KSI7:KSI441 LCE7:LCE441 LMA7:LMA441 LVW7:LVW441 MFS7:MFS441 MPO7:MPO441 MZK7:MZK441 NJG7:NJG441 NTC7:NTC441 OCY7:OCY441 OMU7:OMU441 OWQ7:OWQ441 PGM7:PGM441 PQI7:PQI441 QAE7:QAE441 QKA7:QKA441 QTW7:QTW441 RDS7:RDS441 RNO7:RNO441 RXK7:RXK441 SHG7:SHG441 SRC7:SRC441 TAY7:TAY441 TKU7:TKU441 TUQ7:TUQ441 UEM7:UEM441 UOI7:UOI441 UYE7:UYE441 VIA7:VIA441 VRW7:VRW441 WBS7:WBS441 WLO7:WLO441 WVK7:WVK441">
      <formula1>"UPGRADE,UPSELL,SEAT RESERVED SERVICE FEE,EXCESS BAGGAGE"</formula1>
    </dataValidation>
    <dataValidation type="list" allowBlank="1" showInputMessage="1" showErrorMessage="1" sqref="I7:I179 JE7:JE441 TA7:TA441 ACW7:ACW441 AMS7:AMS441 AWO7:AWO441 BGK7:BGK441 BQG7:BQG441 CAC7:CAC441 CJY7:CJY441 CTU7:CTU441 DDQ7:DDQ441 DNM7:DNM441 DXI7:DXI441 EHE7:EHE441 ERA7:ERA441 FAW7:FAW441 FKS7:FKS441 FUO7:FUO441 GEK7:GEK441 GOG7:GOG441 GYC7:GYC441 HHY7:HHY441 HRU7:HRU441 IBQ7:IBQ441 ILM7:ILM441 IVI7:IVI441 JFE7:JFE441 JPA7:JPA441 JYW7:JYW441 KIS7:KIS441 KSO7:KSO441 LCK7:LCK441 LMG7:LMG441 LWC7:LWC441 MFY7:MFY441 MPU7:MPU441 MZQ7:MZQ441 NJM7:NJM441 NTI7:NTI441 ODE7:ODE441 ONA7:ONA441 OWW7:OWW441 PGS7:PGS441 PQO7:PQO441 QAK7:QAK441 QKG7:QKG441 QUC7:QUC441 RDY7:RDY441 RNU7:RNU441 RXQ7:RXQ441 SHM7:SHM441 SRI7:SRI441 TBE7:TBE441 TLA7:TLA441 TUW7:TUW441 UES7:UES441 UOO7:UOO441 UYK7:UYK441 VIG7:VIG441 VSC7:VSC441 WBY7:WBY441 WLU7:WLU441 WVQ7:WVQ441">
      <formula1>"CASH, DEBIT, CHEQUE, WECHAT, ALIPAY, 银联, VISA, AX, MASTERCARD, AIRPOINT, VOID, DEBIT &amp; CASH, VISA &amp; CASH, MASTER &amp; CASH"</formula1>
    </dataValidation>
  </dataValidations>
  <printOptions horizontalCentered="1"/>
  <pageMargins left="0" right="0" top="0.236220472440945" bottom="0.511811023622047" header="0.393700787401575" footer="0.236220472440945"/>
  <pageSetup paperSize="1" scale="86" orientation="landscape"/>
  <headerFooter alignWithMargins="0">
    <oddFooter>&amp;L&amp;"Arial,常规"&amp;8China Eastern Airlines
&amp;"細明體,常规"多&amp;"宋体,常规"伦&amp;"細明體,常规"多&amp;"宋体,常规"营业&amp;"細明體,常规"部&amp;CPage &amp;P of &amp;N&amp;R&amp;"Arial,常规"&amp;8Prepared by MIKE/GIA&amp;10</oddFooter>
  </headerFooter>
  <ignoredErrors>
    <ignoredError sqref="G174:G178" emptyCellReferenc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9" tint="-0.249977111117893"/>
    <pageSetUpPr fitToPage="1"/>
  </sheetPr>
  <dimension ref="A1:M32"/>
  <sheetViews>
    <sheetView workbookViewId="0">
      <selection activeCell="F31" sqref="F31"/>
    </sheetView>
  </sheetViews>
  <sheetFormatPr defaultColWidth="9" defaultRowHeight="15.6"/>
  <cols>
    <col min="1" max="1" width="17.7" customWidth="1"/>
    <col min="2" max="2" width="13.6" customWidth="1"/>
    <col min="3" max="3" width="25.7" style="12" customWidth="1"/>
    <col min="4" max="4" width="16" customWidth="1"/>
    <col min="5" max="5" width="16.6" customWidth="1"/>
    <col min="6" max="6" width="16.5" customWidth="1"/>
    <col min="7" max="8" width="15.6" customWidth="1"/>
    <col min="9" max="9" width="30.5" customWidth="1"/>
    <col min="10" max="10" width="37.7" style="15" customWidth="1"/>
    <col min="11" max="11" width="13.4" style="16" customWidth="1"/>
    <col min="12" max="12" width="13.5" style="16" customWidth="1"/>
    <col min="13" max="13" width="12.9" style="15" customWidth="1"/>
  </cols>
  <sheetData>
    <row r="1" s="12" customFormat="1" ht="39.75" customHeight="1" spans="1:13">
      <c r="A1" s="17" t="s">
        <v>321</v>
      </c>
      <c r="B1" s="17"/>
      <c r="C1" s="17"/>
      <c r="D1" s="17"/>
      <c r="E1" s="17"/>
      <c r="F1" s="17"/>
      <c r="G1" s="17"/>
      <c r="H1" s="17"/>
      <c r="I1" s="17"/>
      <c r="J1" s="66"/>
      <c r="K1" s="67"/>
      <c r="L1" s="67"/>
      <c r="M1" s="66"/>
    </row>
    <row r="2" s="12" customFormat="1" ht="20.25" customHeight="1" spans="1:13">
      <c r="A2" s="18" t="s">
        <v>15</v>
      </c>
      <c r="B2" s="19" t="s">
        <v>59</v>
      </c>
      <c r="C2" s="19"/>
      <c r="D2" s="20" t="s">
        <v>60</v>
      </c>
      <c r="E2" s="21"/>
      <c r="F2" s="20"/>
      <c r="G2" s="20"/>
      <c r="H2" s="20"/>
      <c r="I2" s="20"/>
      <c r="J2" s="15"/>
      <c r="K2" s="16"/>
      <c r="L2" s="16"/>
      <c r="M2" s="15"/>
    </row>
    <row r="3" s="12" customFormat="1" ht="19.5" customHeight="1" spans="1:13">
      <c r="A3" s="19" t="s">
        <v>17</v>
      </c>
      <c r="B3" s="22" t="s">
        <v>322</v>
      </c>
      <c r="C3" s="20"/>
      <c r="D3" s="20"/>
      <c r="E3" s="21"/>
      <c r="F3" s="20"/>
      <c r="G3" s="20"/>
      <c r="H3" s="20"/>
      <c r="I3" s="20"/>
      <c r="J3" s="15"/>
      <c r="K3" s="16"/>
      <c r="L3" s="16"/>
      <c r="M3" s="15"/>
    </row>
    <row r="4" s="12" customFormat="1" ht="32.25" customHeight="1" spans="1:13">
      <c r="A4" s="19"/>
      <c r="B4" s="23"/>
      <c r="C4" s="23"/>
      <c r="E4" s="24"/>
      <c r="G4" s="25" t="s">
        <v>98</v>
      </c>
      <c r="H4" s="26"/>
      <c r="J4" s="15"/>
      <c r="K4" s="16"/>
      <c r="L4" s="16"/>
      <c r="M4" s="15"/>
    </row>
    <row r="5" s="13" customFormat="1" ht="22.5" customHeight="1" spans="1:13">
      <c r="A5" s="27" t="s">
        <v>64</v>
      </c>
      <c r="B5" s="28" t="s">
        <v>20</v>
      </c>
      <c r="C5" s="29" t="s">
        <v>123</v>
      </c>
      <c r="D5" s="30" t="s">
        <v>124</v>
      </c>
      <c r="E5" s="31" t="s">
        <v>285</v>
      </c>
      <c r="F5" s="30" t="s">
        <v>67</v>
      </c>
      <c r="G5" s="30" t="s">
        <v>323</v>
      </c>
      <c r="H5" s="30" t="s">
        <v>324</v>
      </c>
      <c r="I5" s="68" t="s">
        <v>325</v>
      </c>
      <c r="J5" s="69" t="s">
        <v>108</v>
      </c>
      <c r="K5" s="70" t="s">
        <v>109</v>
      </c>
      <c r="L5" s="71" t="s">
        <v>110</v>
      </c>
      <c r="M5" s="72" t="s">
        <v>36</v>
      </c>
    </row>
    <row r="6" s="13" customFormat="1" ht="36.75" customHeight="1" spans="1:13">
      <c r="A6" s="32"/>
      <c r="B6" s="33"/>
      <c r="C6" s="34"/>
      <c r="D6" s="35"/>
      <c r="E6" s="36"/>
      <c r="F6" s="35"/>
      <c r="G6" s="35"/>
      <c r="H6" s="35"/>
      <c r="I6" s="73"/>
      <c r="J6" s="74"/>
      <c r="K6" s="75"/>
      <c r="L6" s="76"/>
      <c r="M6" s="77"/>
    </row>
    <row r="7" s="14" customFormat="1" ht="28.5" customHeight="1" spans="1:13">
      <c r="A7" s="37">
        <v>4560939251</v>
      </c>
      <c r="B7" s="38" t="s">
        <v>69</v>
      </c>
      <c r="C7" s="39" t="s">
        <v>65</v>
      </c>
      <c r="D7" s="40">
        <v>2</v>
      </c>
      <c r="E7" s="41">
        <v>200</v>
      </c>
      <c r="F7" s="42">
        <f>D7*E7</f>
        <v>400</v>
      </c>
      <c r="G7" s="43">
        <v>0</v>
      </c>
      <c r="H7" s="44">
        <f>F7-G7</f>
        <v>400</v>
      </c>
      <c r="I7" s="78"/>
      <c r="J7" s="79" t="s">
        <v>326</v>
      </c>
      <c r="K7" s="80" t="s">
        <v>327</v>
      </c>
      <c r="L7" s="81">
        <v>43833</v>
      </c>
      <c r="M7" s="82" t="s">
        <v>70</v>
      </c>
    </row>
    <row r="8" s="12" customFormat="1" ht="17.25" customHeight="1" spans="1:13">
      <c r="A8" s="45"/>
      <c r="B8" s="46"/>
      <c r="C8" s="47"/>
      <c r="D8" s="48"/>
      <c r="E8" s="49"/>
      <c r="F8" s="50"/>
      <c r="G8" s="50"/>
      <c r="H8" s="44"/>
      <c r="I8" s="78"/>
      <c r="J8" s="83"/>
      <c r="K8" s="84"/>
      <c r="L8" s="81"/>
      <c r="M8" s="85"/>
    </row>
    <row r="9" s="12" customFormat="1" ht="15.75" customHeight="1" spans="1:13">
      <c r="A9" s="45"/>
      <c r="B9" s="46"/>
      <c r="C9" s="47"/>
      <c r="D9" s="51"/>
      <c r="E9" s="49"/>
      <c r="F9" s="50"/>
      <c r="G9" s="50"/>
      <c r="H9" s="44"/>
      <c r="I9" s="53"/>
      <c r="J9" s="83"/>
      <c r="K9" s="84"/>
      <c r="L9" s="86"/>
      <c r="M9" s="87"/>
    </row>
    <row r="10" s="12" customFormat="1" ht="15.75" customHeight="1" spans="1:13">
      <c r="A10" s="45"/>
      <c r="B10" s="46"/>
      <c r="C10" s="47"/>
      <c r="D10" s="52"/>
      <c r="E10" s="49"/>
      <c r="F10" s="50"/>
      <c r="G10" s="50"/>
      <c r="H10" s="44"/>
      <c r="I10" s="53"/>
      <c r="J10" s="83"/>
      <c r="K10" s="84"/>
      <c r="L10" s="86"/>
      <c r="M10" s="87"/>
    </row>
    <row r="11" s="12" customFormat="1" ht="15.75" customHeight="1" spans="1:13">
      <c r="A11" s="45"/>
      <c r="B11" s="46"/>
      <c r="C11" s="47"/>
      <c r="D11" s="52"/>
      <c r="E11" s="49"/>
      <c r="F11" s="50"/>
      <c r="G11" s="50"/>
      <c r="H11" s="44"/>
      <c r="I11" s="53"/>
      <c r="J11" s="83"/>
      <c r="K11" s="84"/>
      <c r="L11" s="86"/>
      <c r="M11" s="87"/>
    </row>
    <row r="12" s="12" customFormat="1" ht="15.75" customHeight="1" spans="1:13">
      <c r="A12" s="45"/>
      <c r="B12" s="46"/>
      <c r="C12" s="47"/>
      <c r="D12" s="52"/>
      <c r="E12" s="49"/>
      <c r="F12" s="50"/>
      <c r="G12" s="50"/>
      <c r="H12" s="44"/>
      <c r="I12" s="53"/>
      <c r="J12" s="83"/>
      <c r="K12" s="84"/>
      <c r="L12" s="86"/>
      <c r="M12" s="87"/>
    </row>
    <row r="13" s="12" customFormat="1" ht="15.75" customHeight="1" spans="1:13">
      <c r="A13" s="45"/>
      <c r="B13" s="46"/>
      <c r="C13" s="47"/>
      <c r="D13" s="52"/>
      <c r="E13" s="49"/>
      <c r="F13" s="50"/>
      <c r="G13" s="50"/>
      <c r="H13" s="44"/>
      <c r="I13" s="53"/>
      <c r="J13" s="83"/>
      <c r="K13" s="84"/>
      <c r="L13" s="86"/>
      <c r="M13" s="87"/>
    </row>
    <row r="14" s="12" customFormat="1" ht="15.75" customHeight="1" spans="1:13">
      <c r="A14" s="45"/>
      <c r="B14" s="46"/>
      <c r="C14" s="47"/>
      <c r="D14" s="52"/>
      <c r="E14" s="49"/>
      <c r="F14" s="50"/>
      <c r="G14" s="50"/>
      <c r="H14" s="44"/>
      <c r="I14" s="53"/>
      <c r="J14" s="83"/>
      <c r="K14" s="84"/>
      <c r="L14" s="86"/>
      <c r="M14" s="87"/>
    </row>
    <row r="15" s="12" customFormat="1" ht="15.75" customHeight="1" spans="1:13">
      <c r="A15" s="45"/>
      <c r="B15" s="46"/>
      <c r="C15" s="47"/>
      <c r="D15" s="52"/>
      <c r="E15" s="49"/>
      <c r="F15" s="50"/>
      <c r="G15" s="50"/>
      <c r="H15" s="44"/>
      <c r="I15" s="53"/>
      <c r="J15" s="83"/>
      <c r="K15" s="84"/>
      <c r="L15" s="86"/>
      <c r="M15" s="87"/>
    </row>
    <row r="16" s="12" customFormat="1" ht="15.75" customHeight="1" spans="1:13">
      <c r="A16" s="45"/>
      <c r="B16" s="46"/>
      <c r="C16" s="47"/>
      <c r="D16" s="52"/>
      <c r="E16" s="49"/>
      <c r="F16" s="50"/>
      <c r="G16" s="50"/>
      <c r="H16" s="44"/>
      <c r="I16" s="53"/>
      <c r="J16" s="83"/>
      <c r="K16" s="84"/>
      <c r="L16" s="86"/>
      <c r="M16" s="87"/>
    </row>
    <row r="17" s="12" customFormat="1" ht="15.75" customHeight="1" spans="1:13">
      <c r="A17" s="45"/>
      <c r="B17" s="46"/>
      <c r="C17" s="47"/>
      <c r="D17" s="52"/>
      <c r="E17" s="49"/>
      <c r="F17" s="50"/>
      <c r="G17" s="50"/>
      <c r="H17" s="44"/>
      <c r="I17" s="53"/>
      <c r="J17" s="83"/>
      <c r="K17" s="84"/>
      <c r="L17" s="86"/>
      <c r="M17" s="87"/>
    </row>
    <row r="18" s="12" customFormat="1" ht="15.75" customHeight="1" spans="1:13">
      <c r="A18" s="45"/>
      <c r="B18" s="46"/>
      <c r="C18" s="47"/>
      <c r="D18" s="52"/>
      <c r="E18" s="49"/>
      <c r="F18" s="50"/>
      <c r="G18" s="50"/>
      <c r="H18" s="44"/>
      <c r="I18" s="53"/>
      <c r="J18" s="83"/>
      <c r="K18" s="84"/>
      <c r="L18" s="86"/>
      <c r="M18" s="87"/>
    </row>
    <row r="19" s="12" customFormat="1" ht="15.75" customHeight="1" spans="1:13">
      <c r="A19" s="45"/>
      <c r="B19" s="46"/>
      <c r="C19" s="47"/>
      <c r="D19" s="52"/>
      <c r="E19" s="49"/>
      <c r="F19" s="50"/>
      <c r="G19" s="50"/>
      <c r="H19" s="44"/>
      <c r="I19" s="53"/>
      <c r="J19" s="83"/>
      <c r="K19" s="84"/>
      <c r="L19" s="86"/>
      <c r="M19" s="87"/>
    </row>
    <row r="20" s="12" customFormat="1" ht="15.75" customHeight="1" spans="1:13">
      <c r="A20" s="45"/>
      <c r="B20" s="46"/>
      <c r="C20" s="47"/>
      <c r="D20" s="52"/>
      <c r="E20" s="49"/>
      <c r="F20" s="50"/>
      <c r="G20" s="50"/>
      <c r="H20" s="44"/>
      <c r="I20" s="53"/>
      <c r="J20" s="83"/>
      <c r="K20" s="84"/>
      <c r="L20" s="86"/>
      <c r="M20" s="87"/>
    </row>
    <row r="21" s="12" customFormat="1" ht="15.75" customHeight="1" spans="1:13">
      <c r="A21" s="45"/>
      <c r="B21" s="46"/>
      <c r="C21" s="47"/>
      <c r="D21" s="52"/>
      <c r="E21" s="49"/>
      <c r="F21" s="50"/>
      <c r="G21" s="50"/>
      <c r="H21" s="44"/>
      <c r="I21" s="53"/>
      <c r="J21" s="83"/>
      <c r="K21" s="84"/>
      <c r="L21" s="86"/>
      <c r="M21" s="87"/>
    </row>
    <row r="22" s="12" customFormat="1" ht="15.75" customHeight="1" spans="1:13">
      <c r="A22" s="45"/>
      <c r="B22" s="46"/>
      <c r="C22" s="47"/>
      <c r="D22" s="48"/>
      <c r="E22" s="49"/>
      <c r="F22" s="50"/>
      <c r="G22" s="50"/>
      <c r="H22" s="44"/>
      <c r="I22" s="53"/>
      <c r="J22" s="83"/>
      <c r="K22" s="84"/>
      <c r="L22" s="86"/>
      <c r="M22" s="87"/>
    </row>
    <row r="23" s="12" customFormat="1" ht="15.75" customHeight="1" spans="1:13">
      <c r="A23" s="45"/>
      <c r="B23" s="46"/>
      <c r="C23" s="47"/>
      <c r="D23" s="48"/>
      <c r="E23" s="49"/>
      <c r="F23" s="50"/>
      <c r="G23" s="50"/>
      <c r="H23" s="44"/>
      <c r="I23" s="53"/>
      <c r="J23" s="83"/>
      <c r="K23" s="84"/>
      <c r="L23" s="86"/>
      <c r="M23" s="87"/>
    </row>
    <row r="24" s="12" customFormat="1" ht="15.75" customHeight="1" spans="1:13">
      <c r="A24" s="45"/>
      <c r="B24" s="46"/>
      <c r="C24" s="47"/>
      <c r="D24" s="48"/>
      <c r="E24" s="49"/>
      <c r="F24" s="50"/>
      <c r="G24" s="50"/>
      <c r="H24" s="44"/>
      <c r="I24" s="53"/>
      <c r="J24" s="83"/>
      <c r="K24" s="84"/>
      <c r="L24" s="86"/>
      <c r="M24" s="87"/>
    </row>
    <row r="25" s="12" customFormat="1" ht="17.25" customHeight="1" spans="1:13">
      <c r="A25" s="45"/>
      <c r="B25" s="46"/>
      <c r="C25" s="47"/>
      <c r="D25" s="48"/>
      <c r="E25" s="49"/>
      <c r="F25" s="50"/>
      <c r="G25" s="50"/>
      <c r="H25" s="44"/>
      <c r="I25" s="53"/>
      <c r="J25" s="88"/>
      <c r="K25" s="84"/>
      <c r="L25" s="86"/>
      <c r="M25" s="87"/>
    </row>
    <row r="26" s="12" customFormat="1" ht="17.25" customHeight="1" spans="1:13">
      <c r="A26" s="45"/>
      <c r="B26" s="46"/>
      <c r="C26" s="47"/>
      <c r="D26" s="48"/>
      <c r="E26" s="49"/>
      <c r="F26" s="50"/>
      <c r="G26" s="50"/>
      <c r="H26" s="44"/>
      <c r="I26" s="53"/>
      <c r="J26" s="89"/>
      <c r="K26" s="84"/>
      <c r="L26" s="86"/>
      <c r="M26" s="87"/>
    </row>
    <row r="27" s="12" customFormat="1" ht="17.25" customHeight="1" spans="1:13">
      <c r="A27" s="45"/>
      <c r="B27" s="46"/>
      <c r="C27" s="47"/>
      <c r="D27" s="48"/>
      <c r="E27" s="49"/>
      <c r="F27" s="50"/>
      <c r="G27" s="50"/>
      <c r="H27" s="53"/>
      <c r="I27" s="53"/>
      <c r="J27" s="89"/>
      <c r="K27" s="84"/>
      <c r="L27" s="90"/>
      <c r="M27" s="87"/>
    </row>
    <row r="28" s="12" customFormat="1" ht="17.25" customHeight="1" spans="1:13">
      <c r="A28" s="45"/>
      <c r="B28" s="46"/>
      <c r="C28" s="47"/>
      <c r="D28" s="48"/>
      <c r="E28" s="49"/>
      <c r="F28" s="50"/>
      <c r="G28" s="50"/>
      <c r="H28" s="53"/>
      <c r="I28" s="53"/>
      <c r="J28" s="89"/>
      <c r="K28" s="84"/>
      <c r="L28" s="90"/>
      <c r="M28" s="87"/>
    </row>
    <row r="29" s="12" customFormat="1" ht="17.25" customHeight="1" spans="1:13">
      <c r="A29" s="45"/>
      <c r="B29" s="46"/>
      <c r="C29" s="47"/>
      <c r="D29" s="48"/>
      <c r="E29" s="49"/>
      <c r="F29" s="50"/>
      <c r="G29" s="50"/>
      <c r="H29" s="53"/>
      <c r="I29" s="53"/>
      <c r="J29" s="91"/>
      <c r="K29" s="92"/>
      <c r="L29" s="93"/>
      <c r="M29" s="94"/>
    </row>
    <row r="30" s="12" customFormat="1" ht="17.25" customHeight="1" spans="1:13">
      <c r="A30" s="45"/>
      <c r="B30" s="46"/>
      <c r="C30" s="47"/>
      <c r="D30" s="52"/>
      <c r="E30" s="49"/>
      <c r="F30" s="50"/>
      <c r="G30" s="50"/>
      <c r="H30" s="53"/>
      <c r="I30" s="53"/>
      <c r="J30" s="91"/>
      <c r="K30" s="95"/>
      <c r="L30" s="93"/>
      <c r="M30" s="96"/>
    </row>
    <row r="31" s="12" customFormat="1" ht="17.25" customHeight="1" spans="1:13">
      <c r="A31" s="54"/>
      <c r="B31" s="55"/>
      <c r="C31" s="56"/>
      <c r="D31" s="57"/>
      <c r="E31" s="58"/>
      <c r="F31" s="59"/>
      <c r="G31" s="59"/>
      <c r="H31" s="60"/>
      <c r="I31" s="60"/>
      <c r="J31" s="91"/>
      <c r="K31" s="95"/>
      <c r="L31" s="93"/>
      <c r="M31" s="96"/>
    </row>
    <row r="32" s="12" customFormat="1" ht="20.25" customHeight="1" spans="1:13">
      <c r="A32" s="61" t="s">
        <v>57</v>
      </c>
      <c r="B32" s="62"/>
      <c r="C32" s="63"/>
      <c r="D32" s="63"/>
      <c r="E32" s="64"/>
      <c r="F32" s="65"/>
      <c r="G32" s="65">
        <f>SUM(G7:G31)</f>
        <v>0</v>
      </c>
      <c r="H32" s="65">
        <f>SUM(H7:H31)</f>
        <v>400</v>
      </c>
      <c r="I32" s="97"/>
      <c r="J32" s="91"/>
      <c r="K32" s="95"/>
      <c r="L32" s="93"/>
      <c r="M32" s="96"/>
    </row>
  </sheetData>
  <mergeCells count="15">
    <mergeCell ref="A1:F1"/>
    <mergeCell ref="G4: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dataValidations count="1">
    <dataValidation type="list" allowBlank="1" showInputMessage="1" showErrorMessage="1" sqref="C7:C32">
      <formula1>"UPGRADE,SEAT RESERVED SERVICE FEE,EXCESS BAGGAGE"</formula1>
    </dataValidation>
  </dataValidations>
  <pageMargins left="0" right="0" top="0.748031496062992" bottom="0.748031496062992" header="0.31496062992126" footer="0.31496062992126"/>
  <pageSetup paperSize="1" scale="5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4"/>
  <sheetViews>
    <sheetView workbookViewId="0">
      <selection activeCell="I10" sqref="I10"/>
    </sheetView>
  </sheetViews>
  <sheetFormatPr defaultColWidth="9" defaultRowHeight="15.6"/>
  <cols>
    <col min="1" max="1" width="10.2" customWidth="1"/>
    <col min="2" max="2" width="21.6" customWidth="1"/>
    <col min="3" max="3" width="8.7" customWidth="1"/>
    <col min="4" max="4" width="10.5" style="1" customWidth="1"/>
    <col min="6" max="6" width="9" style="1" customWidth="1"/>
    <col min="8" max="8" width="10.1" customWidth="1"/>
    <col min="9" max="9" width="11.9" customWidth="1"/>
    <col min="10" max="10" width="19" customWidth="1"/>
    <col min="12" max="13" width="11.2" customWidth="1"/>
  </cols>
  <sheetData>
    <row r="2" spans="4:13">
      <c r="D2" s="2" t="s">
        <v>328</v>
      </c>
      <c r="E2" s="2"/>
      <c r="F2" s="2"/>
      <c r="G2" s="2"/>
      <c r="H2" s="3"/>
      <c r="I2" s="3"/>
      <c r="K2" s="9" t="s">
        <v>329</v>
      </c>
      <c r="L2" s="10">
        <v>42717</v>
      </c>
      <c r="M2" s="10">
        <v>42728</v>
      </c>
    </row>
    <row r="3" spans="4:13">
      <c r="D3" s="4" t="s">
        <v>330</v>
      </c>
      <c r="E3" s="2" t="s">
        <v>331</v>
      </c>
      <c r="F3" s="4" t="s">
        <v>332</v>
      </c>
      <c r="G3" s="2" t="s">
        <v>331</v>
      </c>
      <c r="H3" s="2" t="s">
        <v>333</v>
      </c>
      <c r="I3" s="11" t="s">
        <v>334</v>
      </c>
      <c r="K3" s="9"/>
      <c r="L3" s="10">
        <v>42905</v>
      </c>
      <c r="M3" s="10">
        <v>42926</v>
      </c>
    </row>
    <row r="4" spans="1:13">
      <c r="A4" s="5">
        <v>4472633090</v>
      </c>
      <c r="B4" s="6" t="s">
        <v>54</v>
      </c>
      <c r="C4" s="7">
        <v>2400</v>
      </c>
      <c r="D4" s="4">
        <v>42914</v>
      </c>
      <c r="E4" s="2">
        <v>200</v>
      </c>
      <c r="F4" s="4">
        <v>42968</v>
      </c>
      <c r="G4" s="2">
        <v>200</v>
      </c>
      <c r="H4" s="2">
        <f>C4+E4+G4</f>
        <v>2800</v>
      </c>
      <c r="I4" s="2">
        <f>E4+G4</f>
        <v>400</v>
      </c>
      <c r="K4" s="9"/>
      <c r="L4" s="10">
        <v>43082</v>
      </c>
      <c r="M4" s="10">
        <v>43093</v>
      </c>
    </row>
    <row r="5" spans="1:13">
      <c r="A5" s="5">
        <v>4472633091</v>
      </c>
      <c r="B5" s="6" t="s">
        <v>54</v>
      </c>
      <c r="C5" s="7">
        <v>2400</v>
      </c>
      <c r="D5" s="4">
        <v>42856</v>
      </c>
      <c r="E5" s="2">
        <v>0</v>
      </c>
      <c r="F5" s="4">
        <v>42979</v>
      </c>
      <c r="G5" s="2">
        <v>200</v>
      </c>
      <c r="H5" s="2" t="e">
        <f t="shared" ref="H5:H13" si="0">#N/A</f>
        <v>#N/A</v>
      </c>
      <c r="I5" s="2" t="e">
        <f t="shared" ref="I5:I13" si="1">#N/A</f>
        <v>#N/A</v>
      </c>
      <c r="K5" s="9"/>
      <c r="L5" s="10">
        <v>43270</v>
      </c>
      <c r="M5" s="10">
        <v>43291</v>
      </c>
    </row>
    <row r="6" spans="1:13">
      <c r="A6" s="5">
        <v>4472633092</v>
      </c>
      <c r="B6" s="6" t="s">
        <v>54</v>
      </c>
      <c r="C6" s="7">
        <v>2400</v>
      </c>
      <c r="D6" s="4">
        <v>42917</v>
      </c>
      <c r="E6" s="2">
        <v>200</v>
      </c>
      <c r="F6" s="4">
        <v>42979</v>
      </c>
      <c r="G6" s="2">
        <v>200</v>
      </c>
      <c r="H6" s="2" t="e">
        <f t="shared" si="0"/>
        <v>#N/A</v>
      </c>
      <c r="I6" s="2" t="e">
        <f t="shared" si="1"/>
        <v>#N/A</v>
      </c>
      <c r="K6" s="9" t="s">
        <v>335</v>
      </c>
      <c r="L6" s="10">
        <v>42596</v>
      </c>
      <c r="M6" s="10">
        <v>42625</v>
      </c>
    </row>
    <row r="7" spans="1:13">
      <c r="A7" s="5">
        <v>4472633093</v>
      </c>
      <c r="B7" s="6" t="s">
        <v>336</v>
      </c>
      <c r="C7" s="7">
        <v>3000</v>
      </c>
      <c r="D7" s="4">
        <v>42607</v>
      </c>
      <c r="E7" s="2">
        <v>200</v>
      </c>
      <c r="F7" s="4">
        <v>43003</v>
      </c>
      <c r="G7" s="2">
        <v>0</v>
      </c>
      <c r="H7" s="2" t="e">
        <f t="shared" si="0"/>
        <v>#N/A</v>
      </c>
      <c r="I7" s="2" t="e">
        <f t="shared" si="1"/>
        <v>#N/A</v>
      </c>
      <c r="K7" s="9"/>
      <c r="L7" s="10">
        <v>42736</v>
      </c>
      <c r="M7" s="10">
        <v>42745</v>
      </c>
    </row>
    <row r="8" spans="1:13">
      <c r="A8" s="5">
        <v>4472633094</v>
      </c>
      <c r="B8" s="6" t="s">
        <v>337</v>
      </c>
      <c r="C8" s="7">
        <v>2400</v>
      </c>
      <c r="D8" s="4">
        <v>42721</v>
      </c>
      <c r="E8" s="2">
        <v>200</v>
      </c>
      <c r="F8" s="4">
        <v>42743</v>
      </c>
      <c r="G8" s="2">
        <v>200</v>
      </c>
      <c r="H8" s="2" t="e">
        <f t="shared" si="0"/>
        <v>#N/A</v>
      </c>
      <c r="I8" s="2" t="e">
        <f t="shared" si="1"/>
        <v>#N/A</v>
      </c>
      <c r="K8" s="9"/>
      <c r="L8" s="10">
        <v>42961</v>
      </c>
      <c r="M8" s="10">
        <v>42990</v>
      </c>
    </row>
    <row r="9" spans="1:13">
      <c r="A9" s="5">
        <v>4472633095</v>
      </c>
      <c r="B9" s="6" t="s">
        <v>54</v>
      </c>
      <c r="C9" s="7">
        <v>2400</v>
      </c>
      <c r="D9" s="4">
        <v>42861</v>
      </c>
      <c r="E9" s="2">
        <v>0</v>
      </c>
      <c r="F9" s="4">
        <v>42975</v>
      </c>
      <c r="G9" s="2">
        <v>200</v>
      </c>
      <c r="H9" s="2" t="e">
        <f t="shared" si="0"/>
        <v>#N/A</v>
      </c>
      <c r="I9" s="2" t="e">
        <f t="shared" si="1"/>
        <v>#N/A</v>
      </c>
      <c r="K9" s="9"/>
      <c r="L9" s="10">
        <v>43101</v>
      </c>
      <c r="M9" s="10">
        <v>43110</v>
      </c>
    </row>
    <row r="10" spans="1:13">
      <c r="A10" s="5">
        <v>4472633096</v>
      </c>
      <c r="B10" s="6" t="s">
        <v>336</v>
      </c>
      <c r="C10" s="7">
        <v>3000</v>
      </c>
      <c r="D10" s="4">
        <v>42622</v>
      </c>
      <c r="E10" s="2">
        <v>200</v>
      </c>
      <c r="F10" s="4">
        <v>42856</v>
      </c>
      <c r="G10" s="2">
        <v>0</v>
      </c>
      <c r="H10" s="2" t="e">
        <f t="shared" si="0"/>
        <v>#N/A</v>
      </c>
      <c r="I10" s="2" t="e">
        <f t="shared" si="1"/>
        <v>#N/A</v>
      </c>
      <c r="K10" s="9"/>
      <c r="L10" s="9"/>
      <c r="M10" s="9"/>
    </row>
    <row r="11" spans="1:9">
      <c r="A11" s="5">
        <v>4472633097</v>
      </c>
      <c r="B11" s="6" t="s">
        <v>336</v>
      </c>
      <c r="C11" s="7">
        <v>3000</v>
      </c>
      <c r="D11" s="4">
        <v>42622</v>
      </c>
      <c r="E11" s="2">
        <v>200</v>
      </c>
      <c r="F11" s="4">
        <v>42865</v>
      </c>
      <c r="G11" s="2">
        <v>0</v>
      </c>
      <c r="H11" s="2" t="e">
        <f t="shared" si="0"/>
        <v>#N/A</v>
      </c>
      <c r="I11" s="2" t="e">
        <f t="shared" si="1"/>
        <v>#N/A</v>
      </c>
    </row>
    <row r="12" spans="1:9">
      <c r="A12" s="5">
        <v>4472633098</v>
      </c>
      <c r="B12" s="6" t="s">
        <v>54</v>
      </c>
      <c r="C12" s="7">
        <v>2400</v>
      </c>
      <c r="D12" s="4">
        <v>42860</v>
      </c>
      <c r="E12" s="2">
        <v>0</v>
      </c>
      <c r="F12" s="4">
        <v>42975</v>
      </c>
      <c r="G12" s="2">
        <v>200</v>
      </c>
      <c r="H12" s="2" t="e">
        <f t="shared" si="0"/>
        <v>#N/A</v>
      </c>
      <c r="I12" s="2" t="e">
        <f t="shared" si="1"/>
        <v>#N/A</v>
      </c>
    </row>
    <row r="13" spans="1:9">
      <c r="A13" s="5">
        <v>4472633099</v>
      </c>
      <c r="B13" s="6" t="s">
        <v>338</v>
      </c>
      <c r="C13" s="7">
        <v>2400</v>
      </c>
      <c r="D13" s="4">
        <v>42745</v>
      </c>
      <c r="E13" s="2">
        <v>0</v>
      </c>
      <c r="F13" s="4">
        <v>42809</v>
      </c>
      <c r="G13" s="2">
        <v>0</v>
      </c>
      <c r="H13" s="2" t="e">
        <f t="shared" si="0"/>
        <v>#N/A</v>
      </c>
      <c r="I13" s="2" t="e">
        <f t="shared" si="1"/>
        <v>#N/A</v>
      </c>
    </row>
    <row r="14" spans="8:9">
      <c r="H14" s="8"/>
      <c r="I14" s="8"/>
    </row>
  </sheetData>
  <mergeCells count="1">
    <mergeCell ref="D2:G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国际作废票 -Eticket</vt:lpstr>
      <vt:lpstr>DT - (E-TICKET)</vt:lpstr>
      <vt:lpstr>EMDXX</vt:lpstr>
      <vt:lpstr>DT - ETERM REFUND</vt:lpstr>
      <vt:lpstr>DT - OFFLINE REFUND</vt:lpstr>
      <vt:lpstr>国际作废票 - EMD</vt:lpstr>
      <vt:lpstr>EMD_APR</vt:lpstr>
      <vt:lpstr>EMD</vt:lpstr>
      <vt:lpstr>EMD REFUND</vt:lpstr>
      <vt:lpstr>UTCSSA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DELL-MUYYZ07</cp:lastModifiedBy>
  <dcterms:created xsi:type="dcterms:W3CDTF">2015-07-31T03:26:00Z</dcterms:created>
  <cp:lastPrinted>2021-09-26T02:46:00Z</cp:lastPrinted>
  <dcterms:modified xsi:type="dcterms:W3CDTF">2026-01-20T21:23:35Z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390BA2BDE5E247798B1CA4A710FD2A6E_12</vt:lpwstr>
  </property>
  <property fmtid="{D5CDD505-2E9C-101B-9397-08002B2CF9AE}" pid="5" name="KSOProductBuildVer">
    <vt:lpwstr>1033-12.2.0.23197</vt:lpwstr>
  </property>
</Properties>
</file>